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3380" windowHeight="10260" tabRatio="600" firstSheet="3" activeTab="3" autoFilterDateGrouping="1"/>
  </bookViews>
  <sheets>
    <sheet name="FBDescriptions" sheetId="1" state="visible" r:id="rId1"/>
    <sheet name="Definitions" sheetId="2" state="visible" r:id="rId2"/>
    <sheet name="ExtraVars" sheetId="3" state="visible" r:id="rId3"/>
    <sheet name="2_MechAdd_Script" sheetId="4" state="visible" r:id="rId4"/>
    <sheet name="BaseValues" sheetId="5" state="visible" r:id="rId5"/>
    <sheet name="2_MechAdd_LowSeverity" sheetId="6" state="visible" r:id="rId6"/>
    <sheet name="2_MechAdd_ModSeverity" sheetId="7" state="visible" r:id="rId7"/>
    <sheet name="2_MechAdd_HighSeverity" sheetId="8" state="visible" r:id="rId8"/>
    <sheet name="Expected" sheetId="9" state="visible" r:id="rId9"/>
  </sheets>
  <definedNames/>
  <calcPr calcId="152511"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color theme="1"/>
      <sz val="11"/>
      <scheme val="minor"/>
    </font>
    <font>
      <name val="Calibri"/>
      <family val="2"/>
      <b val="1"/>
      <color theme="1"/>
      <sz val="11"/>
      <scheme val="minor"/>
    </font>
    <font>
      <name val="Courier New"/>
      <family val="3"/>
      <color theme="1"/>
      <sz val="10.5"/>
    </font>
    <font>
      <name val="Calibri"/>
      <family val="2"/>
      <sz val="11"/>
      <scheme val="minor"/>
    </font>
    <font>
      <name val="Calibri"/>
      <family val="2"/>
      <b val="1"/>
      <sz val="11"/>
      <scheme val="minor"/>
    </font>
    <font>
      <name val="Calibri"/>
      <family val="2"/>
      <b val="1"/>
      <color theme="1"/>
      <sz val="11"/>
      <u val="single"/>
      <scheme val="minor"/>
    </font>
    <font>
      <name val="Tahoma"/>
      <charset val="1"/>
      <color indexed="81"/>
      <sz val="9"/>
    </font>
    <font>
      <name val="Tahoma"/>
      <charset val="1"/>
      <b val="1"/>
      <color indexed="81"/>
      <sz val="9"/>
    </font>
  </fonts>
  <fills count="8">
    <fill>
      <patternFill/>
    </fill>
    <fill>
      <patternFill patternType="gray125"/>
    </fill>
    <fill>
      <patternFill patternType="solid">
        <fgColor rgb="FFFFFFCC"/>
      </patternFill>
    </fill>
    <fill>
      <patternFill patternType="solid">
        <fgColor theme="4" tint="0.7999816888943144"/>
        <bgColor indexed="65"/>
      </patternFill>
    </fill>
    <fill>
      <patternFill patternType="solid">
        <fgColor theme="5" tint="0.7999816888943144"/>
        <bgColor indexed="65"/>
      </patternFill>
    </fill>
    <fill>
      <patternFill patternType="solid">
        <fgColor rgb="FFFFFF00"/>
        <bgColor indexed="64"/>
      </patternFill>
    </fill>
    <fill>
      <patternFill patternType="solid">
        <fgColor theme="4" tint="0.7999816888943144"/>
        <bgColor indexed="64"/>
      </patternFill>
    </fill>
    <fill>
      <patternFill patternType="solid">
        <fgColor theme="5" tint="0.7999816888943144"/>
        <bgColor indexed="64"/>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4">
    <xf numFmtId="0" fontId="1" fillId="0" borderId="0"/>
    <xf numFmtId="0" fontId="1" fillId="2" borderId="1"/>
    <xf numFmtId="0" fontId="1" fillId="3" borderId="0"/>
    <xf numFmtId="0" fontId="1" fillId="4" borderId="0"/>
  </cellStyleXfs>
  <cellXfs count="46">
    <xf numFmtId="0" fontId="0" fillId="0" borderId="0" pivotButton="0" quotePrefix="0" xfId="0"/>
    <xf numFmtId="0" fontId="2" fillId="0" borderId="0" pivotButton="0" quotePrefix="0" xfId="0"/>
    <xf numFmtId="0" fontId="2" fillId="3" borderId="0" applyAlignment="1" pivotButton="0" quotePrefix="0" xfId="2">
      <alignment horizontal="left"/>
    </xf>
    <xf numFmtId="0" fontId="2" fillId="4" borderId="0" applyAlignment="1" pivotButton="0" quotePrefix="0" xfId="3">
      <alignment horizontal="left"/>
    </xf>
    <xf numFmtId="0" fontId="0" fillId="2" borderId="1" applyAlignment="1" pivotButton="0" quotePrefix="0" xfId="1">
      <alignment horizontal="left"/>
    </xf>
    <xf numFmtId="0" fontId="1" fillId="3" borderId="0" applyAlignment="1" pivotButton="0" quotePrefix="0" xfId="2">
      <alignment horizontal="left"/>
    </xf>
    <xf numFmtId="0" fontId="1" fillId="4" borderId="0" applyAlignment="1" pivotButton="0" quotePrefix="0" xfId="3">
      <alignment horizontal="left"/>
    </xf>
    <xf numFmtId="0" fontId="0" fillId="0" borderId="0" applyAlignment="1" pivotButton="0" quotePrefix="0" xfId="0">
      <alignment horizontal="left"/>
    </xf>
    <xf numFmtId="0" fontId="0" fillId="3" borderId="0" applyAlignment="1" pivotButton="0" quotePrefix="0" xfId="2">
      <alignment horizontal="left"/>
    </xf>
    <xf numFmtId="0" fontId="0" fillId="4" borderId="0" applyAlignment="1" pivotButton="0" quotePrefix="0" xfId="3">
      <alignment horizontal="left"/>
    </xf>
    <xf numFmtId="0" fontId="0" fillId="5" borderId="0" pivotButton="0" quotePrefix="0" xfId="0"/>
    <xf numFmtId="0" fontId="4" fillId="0" borderId="0" pivotButton="0" quotePrefix="0" xfId="0"/>
    <xf numFmtId="0" fontId="4" fillId="2" borderId="1" pivotButton="0" quotePrefix="0" xfId="1"/>
    <xf numFmtId="0" fontId="5" fillId="0" borderId="0" pivotButton="0" quotePrefix="0" xfId="0"/>
    <xf numFmtId="0" fontId="5" fillId="0" borderId="0" applyAlignment="1" pivotButton="0" quotePrefix="0" xfId="0">
      <alignment horizontal="left"/>
    </xf>
    <xf numFmtId="0" fontId="1" fillId="3" borderId="1" pivotButton="0" quotePrefix="0" xfId="2"/>
    <xf numFmtId="0" fontId="1" fillId="4" borderId="0" pivotButton="0" quotePrefix="0" xfId="3"/>
    <xf numFmtId="0" fontId="6" fillId="0" borderId="0" pivotButton="0" quotePrefix="0" xfId="0"/>
    <xf numFmtId="0" fontId="3" fillId="0" borderId="0" applyAlignment="1" pivotButton="0" quotePrefix="0" xfId="0">
      <alignment vertical="center"/>
    </xf>
    <xf numFmtId="0" fontId="1" fillId="4" borderId="1" pivotButton="0" quotePrefix="0" xfId="3"/>
    <xf numFmtId="0" fontId="0" fillId="0" borderId="2" applyAlignment="1" pivotButton="0" quotePrefix="0" xfId="0">
      <alignment horizontal="left"/>
    </xf>
    <xf numFmtId="0" fontId="0" fillId="2" borderId="2" applyAlignment="1" pivotButton="0" quotePrefix="0" xfId="1">
      <alignment horizontal="left"/>
    </xf>
    <xf numFmtId="0" fontId="0" fillId="3" borderId="2" applyAlignment="1" pivotButton="0" quotePrefix="0" xfId="2">
      <alignment horizontal="left"/>
    </xf>
    <xf numFmtId="0" fontId="0" fillId="4" borderId="2" applyAlignment="1" pivotButton="0" quotePrefix="0" xfId="3">
      <alignment horizontal="left"/>
    </xf>
    <xf numFmtId="0" fontId="3" fillId="0" borderId="2" applyAlignment="1" pivotButton="0" quotePrefix="0" xfId="0">
      <alignment vertical="center"/>
    </xf>
    <xf numFmtId="0" fontId="1" fillId="3" borderId="2" applyAlignment="1" pivotButton="0" quotePrefix="0" xfId="2">
      <alignment horizontal="left"/>
    </xf>
    <xf numFmtId="0" fontId="1" fillId="4" borderId="2" applyAlignment="1" pivotButton="0" quotePrefix="0" xfId="3">
      <alignment horizontal="left"/>
    </xf>
    <xf numFmtId="0" fontId="0" fillId="0" borderId="2" applyAlignment="1" pivotButton="0" quotePrefix="0" xfId="0">
      <alignment horizontal="left"/>
    </xf>
    <xf numFmtId="0" fontId="5" fillId="2" borderId="1" applyAlignment="1" pivotButton="0" quotePrefix="0" xfId="1">
      <alignment horizontal="left"/>
    </xf>
    <xf numFmtId="0" fontId="0" fillId="0" borderId="0" pivotButton="0" quotePrefix="0" xfId="0"/>
    <xf numFmtId="0" fontId="0" fillId="0" borderId="0" applyAlignment="1" pivotButton="0" quotePrefix="0" xfId="0">
      <alignment vertical="center"/>
    </xf>
    <xf numFmtId="0" fontId="0" fillId="4" borderId="0" applyAlignment="1" pivotButton="0" quotePrefix="0" xfId="3">
      <alignment horizontal="left"/>
    </xf>
    <xf numFmtId="0" fontId="1" fillId="4" borderId="0" applyAlignment="1" pivotButton="0" quotePrefix="0" xfId="3">
      <alignment horizontal="left"/>
    </xf>
    <xf numFmtId="0" fontId="0" fillId="6" borderId="2" applyAlignment="1" pivotButton="0" quotePrefix="0" xfId="3">
      <alignment horizontal="left"/>
    </xf>
    <xf numFmtId="0" fontId="3" fillId="0" borderId="0" applyAlignment="1" pivotButton="0" quotePrefix="0" xfId="0">
      <alignment vertical="center"/>
    </xf>
    <xf numFmtId="0" fontId="0" fillId="0" borderId="0" pivotButton="0" quotePrefix="0" xfId="0"/>
    <xf numFmtId="0" fontId="0" fillId="0" borderId="1" applyAlignment="1" pivotButton="0" quotePrefix="0" xfId="1">
      <alignment horizontal="left"/>
    </xf>
    <xf numFmtId="0" fontId="1" fillId="0" borderId="0" applyAlignment="1" pivotButton="0" quotePrefix="0" xfId="2">
      <alignment horizontal="left"/>
    </xf>
    <xf numFmtId="0" fontId="1" fillId="0" borderId="0" applyAlignment="1" pivotButton="0" quotePrefix="0" xfId="3">
      <alignment horizontal="left"/>
    </xf>
    <xf numFmtId="0" fontId="4" fillId="0" borderId="0" pivotButton="0" quotePrefix="0" xfId="0"/>
    <xf numFmtId="0" fontId="4" fillId="0" borderId="1" pivotButton="0" quotePrefix="0" xfId="1"/>
    <xf numFmtId="0" fontId="1" fillId="0" borderId="1" pivotButton="0" quotePrefix="0" xfId="2"/>
    <xf numFmtId="0" fontId="1" fillId="0" borderId="0" pivotButton="0" quotePrefix="0" xfId="3"/>
    <xf numFmtId="0" fontId="0" fillId="0" borderId="0" applyAlignment="1" pivotButton="0" quotePrefix="0" xfId="3">
      <alignment horizontal="left"/>
    </xf>
    <xf numFmtId="0" fontId="1" fillId="7" borderId="0" pivotButton="0" quotePrefix="0" xfId="3"/>
    <xf numFmtId="0" fontId="1" fillId="7" borderId="1" pivotButton="0" quotePrefix="0" xfId="2"/>
  </cellXfs>
  <cellStyles count="4">
    <cellStyle name="Normal" xfId="0" builtinId="0"/>
    <cellStyle name="Note" xfId="1" builtinId="10"/>
    <cellStyle name="20% - Accent1" xfId="2" builtinId="30"/>
    <cellStyle name="20% - Accent2" xfId="3" builtinId="3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Susan J. Prichard</author>
  </authors>
  <commentList>
    <comment ref="E48" authorId="0" shapeId="0">
      <text>
        <t>Susan J. Prichard:
max =1</t>
      </text>
    </comment>
    <comment ref="E49" authorId="0" shapeId="0">
      <text>
        <t>Susan J. Prichard:
max =1</t>
      </text>
    </comment>
    <comment ref="E50" authorId="0" shapeId="0">
      <text>
        <t>Susan J. Prichard:
max =1</t>
      </text>
    </comment>
    <comment ref="E51" authorId="0" shapeId="0">
      <text>
        <t>Susan J. Prichard:
max =1</t>
      </text>
    </comment>
    <comment ref="E52" authorId="0" shapeId="0">
      <text>
        <t>Susan J. Prichard:
max =1</t>
      </text>
    </comment>
  </commentList>
</comments>
</file>

<file path=xl/comments/comment2.xml><?xml version="1.0" encoding="utf-8"?>
<comments xmlns="http://schemas.openxmlformats.org/spreadsheetml/2006/main">
  <authors>
    <author>Susan J. Prichard</author>
  </authors>
  <commentList>
    <comment ref="E53" authorId="0" shapeId="0">
      <text>
        <t xml:space="preserve">Susan J. Prichard:
min = 4
</t>
      </text>
    </comment>
    <comment ref="E54" authorId="0" shapeId="0">
      <text>
        <t xml:space="preserve">Susan J. Prichard:
min = 4
</t>
      </text>
    </comment>
    <comment ref="E55" authorId="0" shapeId="0">
      <text>
        <t xml:space="preserve">Susan J. Prichard:
min = 4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C15"/>
  <sheetViews>
    <sheetView workbookViewId="0">
      <selection activeCell="B27" sqref="B27"/>
    </sheetView>
  </sheetViews>
  <sheetFormatPr baseColWidth="8" defaultRowHeight="15"/>
  <cols>
    <col width="13.5703125" bestFit="1" customWidth="1" style="35" min="1" max="1"/>
    <col width="56.5703125" bestFit="1" customWidth="1" style="35" min="2" max="2"/>
    <col width="255.7109375" bestFit="1" customWidth="1" style="35" min="3" max="3"/>
  </cols>
  <sheetData>
    <row r="1">
      <c r="A1" t="inlineStr">
        <is>
          <t>Filename</t>
        </is>
      </c>
      <c r="B1" t="inlineStr">
        <is>
          <t>Fuelbed name</t>
        </is>
      </c>
      <c r="C1" t="inlineStr">
        <is>
          <t>Fuelbed description</t>
        </is>
      </c>
    </row>
    <row r="2" customFormat="1" s="10">
      <c r="A2" s="10" t="inlineStr">
        <is>
          <t>FB_0029_FCCS</t>
        </is>
      </c>
      <c r="B2" s="10" t="inlineStr">
        <is>
          <t>Interior ponderosa pine-Engelmann spruce-Douglas-fir forest</t>
        </is>
      </c>
      <c r="C2" s="10" t="inlineStr">
        <is>
          <t>Ponderosa pine, Douglas-fir, and Engelmann spruce are common associates in the mixed conifer forests of the U.S. Rocky Mountains and the Southwest. Large diameter trees have been thinned in this fuelbed, and slash was left on site.</t>
        </is>
      </c>
    </row>
    <row r="3" customFormat="1" s="10">
      <c r="A3" s="10" t="inlineStr">
        <is>
          <t>FB_0046_FCCS</t>
        </is>
      </c>
      <c r="B3" s="10" t="inlineStr">
        <is>
          <t>Chamise chaparral shrubland</t>
        </is>
      </c>
      <c r="C3" s="10" t="inlineStr">
        <is>
          <t>This chaparral type is mostly restricted to coastal mountain areas south from San Diego County north to interior Mendocino County in California, covering more than 1.5 million acres. At lower elevations, chamise (Adenostoma fasciculatum) is found with coastal sage shrubs. At higher elevations, chamise is codominant with arctostaphylos or ceanothus or both.</t>
        </is>
      </c>
    </row>
    <row r="4" customFormat="1" s="10">
      <c r="A4" s="10" t="inlineStr">
        <is>
          <t>FB_0066_FCCS</t>
        </is>
      </c>
      <c r="B4" s="10" t="inlineStr">
        <is>
          <t>Bluebunch wheatgrass-bluegrass grassland</t>
        </is>
      </c>
      <c r="C4" s="10" t="inlineStr">
        <is>
          <t>Prairie grasslands occur throughout the Midwest. This prairie is a mixed-grass prairie that is transitional between short and tall grass prairies in South Dakota. Historically, fire occurred at intervals of less than 35 years.</t>
        </is>
      </c>
    </row>
    <row r="5">
      <c r="A5" t="inlineStr">
        <is>
          <t>FB_0067_FCCS</t>
        </is>
      </c>
      <c r="B5" t="inlineStr">
        <is>
          <t>Interior ponderosa pine-Douglas-fir forest</t>
        </is>
      </c>
      <c r="C5" t="inlineStr">
        <is>
          <t>Mixed Douglas-fir and ponderosa pine conifer forests of the northern U.S. Rocky Mountains. Fire exclusion has created elevated levels of hazardous fuels.</t>
        </is>
      </c>
    </row>
    <row r="6">
      <c r="A6" t="inlineStr">
        <is>
          <t>FB_0069_FCCS</t>
        </is>
      </c>
      <c r="B6" t="inlineStr">
        <is>
          <t>Western juniper/sagebrush-bitterbrush shrubland</t>
        </is>
      </c>
      <c r="C6" t="inlineStr">
        <is>
          <t>This eastern Oregon site has a mix of sagebrush (Artemesia spp.) and bitterbrush (Purshia tridentata) with scattered western juniper. Fire exclusion has resulted in western juniper encroachment into the sagebrush assemblage. Sagebrush shrublands are widespread throughout the Great Basin, with juniper woodlands above them in elevation and grasslands below.</t>
        </is>
      </c>
    </row>
    <row r="7">
      <c r="A7" t="inlineStr">
        <is>
          <t>FB_0071_FCCS</t>
        </is>
      </c>
      <c r="B7" t="inlineStr">
        <is>
          <t>Ohia/Florida hopbush-kupaoa forest</t>
        </is>
      </c>
      <c r="C7" t="inlineStr">
        <is>
          <t>Ohia is the sole tree in this dry broadleaf woodland of the Hawaiian submontane zone. Understories consisting of mixed microphyllous shrubs and grasses are common in this woodland. Ohia woodlands are widely distributed throughout Hawaii at elevations between 1,000 and 4,000 feet.</t>
        </is>
      </c>
    </row>
    <row r="8">
      <c r="A8" t="inlineStr">
        <is>
          <t>FB_0077_FCCS</t>
        </is>
      </c>
      <c r="B8" t="inlineStr">
        <is>
          <t>Eucalyptus plantation forest</t>
        </is>
      </c>
      <c r="C8" t="inlineStr">
        <is>
          <t>This fuelbed represents the eucalyptus plantations common in Hawaii.</t>
        </is>
      </c>
    </row>
    <row r="9" customFormat="1" s="10">
      <c r="A9" s="10" t="inlineStr">
        <is>
          <t>FB_0087_FCCS</t>
        </is>
      </c>
      <c r="B9" s="10" t="inlineStr">
        <is>
          <t>Black spruce/feathermoss forest</t>
        </is>
      </c>
      <c r="C9" s="10" t="inlineStr">
        <is>
          <t>Black spruce forest fuelbed with a feathermoss forest floor, between 50 and 150 years old. Found on floodplains and uplands in interior and southcentral Alaska. This fuelbed is comparable to the closed black spruce forest of Viereck et al. (1992).</t>
        </is>
      </c>
    </row>
    <row r="10" customFormat="1" s="10">
      <c r="A10" s="10" t="inlineStr">
        <is>
          <t>FB_0109_FCCS</t>
        </is>
      </c>
      <c r="B10" s="10" t="inlineStr">
        <is>
          <t>Eastern white pine-northern red oak-red maple forest</t>
        </is>
      </c>
      <c r="C10" s="10" t="inlineStr">
        <is>
          <t>Eastern white pine and northern red oak are dominant with red maple as a common canopy associate. Northern hardwood species such as beech, birch, ash, and sugar maple may also be present. This forest type extends through New England west and south along the Appalachian Mountains, typically lower than 3,000 feet in elevation. This fuelbed represents a forest from 50 to 100 years old.</t>
        </is>
      </c>
    </row>
    <row r="11">
      <c r="A11" t="inlineStr">
        <is>
          <t>FB_0125_FCCS</t>
        </is>
      </c>
      <c r="B11" t="inlineStr">
        <is>
          <t>Oak-hickory-pine-eastern hemlock forest</t>
        </is>
      </c>
      <c r="C11" t="inlineStr">
        <is>
          <t>Oak -- hickory -- pine -- eastern hemlock forest occur on dissected hills and valleys, from about 300 to 600 feet in elevation. Eastern hemlock occurs predominately in moist coves and along north-facing slopes while pine species occur on drier sites.</t>
        </is>
      </c>
    </row>
    <row r="12">
      <c r="A12" t="inlineStr">
        <is>
          <t>FB_0165_FCCS</t>
        </is>
      </c>
      <c r="B12" t="inlineStr">
        <is>
          <t>Longleaf pine/three-awned grass-pitcher plant savanna</t>
        </is>
      </c>
      <c r="C12" t="inlineStr">
        <is>
          <t>Mesic to wet savannas with very open, scattered longleaf pine over a diverse herbaceous layer dominated by grasses and many forb species, 2-3 years after prescribed fire. History of periodic prescribed fire maintains herbaceous layer diversity by reducing cover native and nonative understory shrubs and trees.</t>
        </is>
      </c>
    </row>
    <row r="13">
      <c r="A13" t="inlineStr">
        <is>
          <t>FB_0170_FCCS</t>
        </is>
      </c>
      <c r="B13" t="inlineStr">
        <is>
          <t>Pond pine/gallberry-fetterbush shrubland</t>
        </is>
      </c>
      <c r="C13" t="inlineStr">
        <is>
          <t>High pocosin shrublands range from Virginia south to Florida on the coastal plain. High pocosin is an evergreen and deciduous shrub bog with emergent trees over a dense shrub understory on organic soils (peat) less than 5 feet deep. The canopy stratum is dominated by pond pine and loblolly bay. Age ranges from 20 to 60 years since fire.</t>
        </is>
      </c>
    </row>
    <row r="14">
      <c r="A14" t="inlineStr">
        <is>
          <t>FB_0175_FCCS</t>
        </is>
      </c>
      <c r="B14" t="inlineStr">
        <is>
          <t>Smooth cordgrass-black needlerush grassland</t>
        </is>
      </c>
      <c r="C14" t="inlineStr">
        <is>
          <t>Tidal marsh vegetation occurring on the Atlantic coast from Maine to northeastern Florida and along the Gulf Coast to Texas dominated by smooth cordgrass (Spartina alterniflora) and black needlerush (Juncus roemerianus).</t>
        </is>
      </c>
    </row>
    <row r="15" customFormat="1" s="10">
      <c r="A15" s="10" t="inlineStr">
        <is>
          <t>FB_0291_FCCS</t>
        </is>
      </c>
      <c r="B15" s="10" t="inlineStr">
        <is>
          <t>Longleaf-slash pine/saw palmetto forest</t>
        </is>
      </c>
      <c r="C15" s="10" t="inlineStr">
        <is>
          <t>Longleaf pine, slash pine, and saw palmetto (Serenoa repens) forest resulting from fire exclusion occur throughout the Southeast coastal plain from Virginia south to Florida and west to into Texas. This forest type is characterized by a dense overstory of longleaf pine and slash pine and a very dense shrub layer dominated by saw palmetto. Saw palmetto is less important or absent from these forests in the Carolinas and Virginia. Fire has been excluded for 30 years.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L17" sqref="L17"/>
    </sheetView>
  </sheetViews>
  <sheetFormatPr baseColWidth="8" defaultRowHeight="15"/>
  <cols>
    <col width="10.7109375" bestFit="1" customWidth="1" style="35" min="1" max="1"/>
    <col width="30.85546875" customWidth="1" style="35" min="2" max="2"/>
    <col width="28.5703125" customWidth="1" style="35" min="3" max="3"/>
    <col width="17.42578125" customWidth="1" style="35" min="4" max="4"/>
  </cols>
  <sheetData>
    <row r="1" customFormat="1" s="1">
      <c r="A1" s="1" t="inlineStr">
        <is>
          <t>Time Steps</t>
        </is>
      </c>
      <c r="B1" s="1" t="inlineStr">
        <is>
          <t>Definitions</t>
        </is>
      </c>
      <c r="C1" s="1" t="inlineStr">
        <is>
          <t>Notes</t>
        </is>
      </c>
    </row>
    <row r="2">
      <c r="A2" t="n">
        <v>1</v>
      </c>
      <c r="B2" t="inlineStr">
        <is>
          <t>Immediately post fire</t>
        </is>
      </c>
    </row>
    <row r="3">
      <c r="A3" t="n">
        <v>2</v>
      </c>
      <c r="B3" t="inlineStr">
        <is>
          <t>2-5 yr post disturbance or 0-3 yrs for Hawaii and SE US</t>
        </is>
      </c>
      <c r="C3" t="inlineStr">
        <is>
          <t>Update rules modify Time Step 1 fuelbeds</t>
        </is>
      </c>
    </row>
    <row r="4">
      <c r="A4" t="n">
        <v>3</v>
      </c>
      <c r="B4" t="inlineStr">
        <is>
          <t>5-10 yr post disturbance or 3-10 yr for Hawaii and SE US</t>
        </is>
      </c>
      <c r="C4" t="inlineStr">
        <is>
          <t>Update rules modify Time Step 2 fuelbeds</t>
        </is>
      </c>
    </row>
    <row r="6">
      <c r="A6" t="inlineStr">
        <is>
          <t>Codes</t>
        </is>
      </c>
      <c r="B6" t="inlineStr">
        <is>
          <t>Disturbance</t>
        </is>
      </c>
      <c r="C6" t="inlineStr">
        <is>
          <t>Severity</t>
        </is>
      </c>
      <c r="D6" t="inlineStr">
        <is>
          <t>Time Step</t>
        </is>
      </c>
    </row>
    <row r="7">
      <c r="A7" t="n">
        <v>511</v>
      </c>
      <c r="B7" t="inlineStr">
        <is>
          <t>Insect</t>
        </is>
      </c>
      <c r="C7" t="inlineStr">
        <is>
          <t>Low</t>
        </is>
      </c>
      <c r="D7" t="n">
        <v>1</v>
      </c>
    </row>
    <row r="8">
      <c r="A8" t="n">
        <v>512</v>
      </c>
      <c r="B8" t="inlineStr">
        <is>
          <t>Insect</t>
        </is>
      </c>
      <c r="C8" t="inlineStr">
        <is>
          <t>Low</t>
        </is>
      </c>
      <c r="D8" t="n">
        <v>2</v>
      </c>
    </row>
    <row r="9">
      <c r="A9" t="n">
        <v>513</v>
      </c>
      <c r="B9" t="inlineStr">
        <is>
          <t>Insect</t>
        </is>
      </c>
      <c r="C9" t="inlineStr">
        <is>
          <t>Low</t>
        </is>
      </c>
      <c r="D9" t="n">
        <v>3</v>
      </c>
    </row>
    <row r="10">
      <c r="A10" t="n">
        <v>521</v>
      </c>
      <c r="B10" t="inlineStr">
        <is>
          <t>Insect</t>
        </is>
      </c>
      <c r="C10" t="inlineStr">
        <is>
          <t>Moderate</t>
        </is>
      </c>
      <c r="D10" t="n">
        <v>1</v>
      </c>
    </row>
    <row r="11">
      <c r="A11" t="n">
        <v>522</v>
      </c>
      <c r="B11" t="inlineStr">
        <is>
          <t>Insect</t>
        </is>
      </c>
      <c r="C11" t="inlineStr">
        <is>
          <t>Moderate</t>
        </is>
      </c>
      <c r="D11" t="n">
        <v>2</v>
      </c>
    </row>
    <row r="12">
      <c r="A12" t="n">
        <v>523</v>
      </c>
      <c r="B12" t="inlineStr">
        <is>
          <t>Insect</t>
        </is>
      </c>
      <c r="C12" t="inlineStr">
        <is>
          <t>Moderate</t>
        </is>
      </c>
      <c r="D12" t="n">
        <v>3</v>
      </c>
    </row>
    <row r="13">
      <c r="A13" t="n">
        <v>531</v>
      </c>
      <c r="B13" t="inlineStr">
        <is>
          <t>Insect</t>
        </is>
      </c>
      <c r="C13" t="inlineStr">
        <is>
          <t>High</t>
        </is>
      </c>
      <c r="D13" t="n">
        <v>1</v>
      </c>
    </row>
    <row r="14">
      <c r="A14" t="n">
        <v>532</v>
      </c>
      <c r="B14" t="inlineStr">
        <is>
          <t>Insect</t>
        </is>
      </c>
      <c r="C14" t="inlineStr">
        <is>
          <t>High</t>
        </is>
      </c>
      <c r="D14" t="n">
        <v>2</v>
      </c>
    </row>
    <row r="15">
      <c r="A15" t="n">
        <v>533</v>
      </c>
      <c r="B15" t="inlineStr">
        <is>
          <t>Insect</t>
        </is>
      </c>
      <c r="C15" t="inlineStr">
        <is>
          <t>High</t>
        </is>
      </c>
      <c r="D15" t="n">
        <v>3</v>
      </c>
    </row>
    <row r="17">
      <c r="A17" s="1" t="inlineStr">
        <is>
          <t>Issues to discuss</t>
        </is>
      </c>
    </row>
    <row r="18">
      <c r="A18" t="inlineStr">
        <is>
          <t>1) Rules at least by region (western, southern, northeastern, Lake States, boreal)</t>
        </is>
      </c>
    </row>
    <row r="19">
      <c r="A19" t="inlineStr">
        <is>
          <t>2) How to best apply to non-forest vegetation (new scripts likely needed)</t>
        </is>
      </c>
    </row>
    <row r="20">
      <c r="A20" t="inlineStr">
        <is>
          <t>3) We didn't include optional fuel loadings.</t>
        </is>
      </c>
    </row>
    <row r="22">
      <c r="A22" s="1" t="inlineStr">
        <is>
          <t>Global rule sets:</t>
        </is>
      </c>
    </row>
    <row r="23">
      <c r="A23" t="inlineStr">
        <is>
          <t>* Capped percent cover and percent live at 100%</t>
        </is>
      </c>
    </row>
    <row r="24">
      <c r="A24" t="inlineStr">
        <is>
          <t>* Specs page is grabbed as is and then convered into expressions within the code</t>
        </is>
      </c>
    </row>
    <row r="25">
      <c r="A25" t="inlineStr">
        <is>
          <t>* Snags have their own separate code to accommodate more complicated rule sets</t>
        </is>
      </c>
    </row>
    <row r="26">
      <c r="A26" t="inlineStr">
        <is>
          <t>* The Expected tab contains cell references to expected values and is used to ensure the script results match the spreadsheet</t>
        </is>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1.85546875" bestFit="1" customWidth="1" style="35" min="1" max="1"/>
  </cols>
  <sheetData>
    <row r="1">
      <c r="A1" s="17" t="inlineStr">
        <is>
          <t>Extra variables that I did not use in the disturbance update</t>
        </is>
      </c>
    </row>
    <row r="2">
      <c r="A2" t="inlineStr">
        <is>
          <t>eCANOPY_SNAGS_CLASS_1_ALL_OTHERS_SPECIES_SPECIES_DESCRIPTION</t>
        </is>
      </c>
    </row>
    <row r="3">
      <c r="A3" t="inlineStr">
        <is>
          <t>eCANOPY_SNAGS_CLASS_1_CONIFERS_WITH_FOLIAGE_SPECIES_SPECIES_DESCRIPTION</t>
        </is>
      </c>
    </row>
    <row r="4">
      <c r="A4" t="inlineStr">
        <is>
          <t>eCANOPY_SNAGS_CLASS_2_SPECIES_SPECIES_DESCRIPTION</t>
        </is>
      </c>
    </row>
    <row r="5">
      <c r="A5" t="inlineStr">
        <is>
          <t>eCANOPY_SNAGS_CLASS_3_SPECIES_SPECIES_DESCRIPTION</t>
        </is>
      </c>
    </row>
    <row r="6">
      <c r="A6" t="inlineStr">
        <is>
          <t>eCANOPY_TREES_MIDSTORY_SPECIES_SPECIES_DESCRIPTION</t>
        </is>
      </c>
    </row>
    <row r="7">
      <c r="A7" t="inlineStr">
        <is>
          <t>eCANOPY_TREES_OVERSTORY_SPECIES_SPECIES_DESCRIPTION</t>
        </is>
      </c>
    </row>
    <row r="8">
      <c r="A8" t="inlineStr">
        <is>
          <t>eCANOPY_TREES_UNDERSTORY_SPECIES_SPECIES_DESCRIPTION</t>
        </is>
      </c>
    </row>
    <row r="9">
      <c r="A9" t="inlineStr">
        <is>
          <t>eFUELBED_NAME</t>
        </is>
      </c>
    </row>
    <row r="10">
      <c r="A10" t="inlineStr">
        <is>
          <t>eFUELBED_NUMBER</t>
        </is>
      </c>
    </row>
    <row r="11">
      <c r="A11" t="inlineStr">
        <is>
          <t>eHERBACEOUS_PRIMARY_LAYER_SPECIES_SPECIES_DESCRIPTION</t>
        </is>
      </c>
    </row>
    <row r="12">
      <c r="A12" t="inlineStr">
        <is>
          <t>eHERBACEOUS_SECONDARY_LAYER_SPECIES_SPECIES_DESCRIPTION</t>
        </is>
      </c>
    </row>
    <row r="13">
      <c r="A13" t="inlineStr">
        <is>
          <t>eSHRUBS_NEEDLE_DRAPE_AFFECTS_FIRE_BEHAVIOR</t>
        </is>
      </c>
    </row>
    <row r="14">
      <c r="A14" t="inlineStr">
        <is>
          <t>eSHRUBS_PRIMARY_LAYER_SPECIES_SPECIES_DESCRIPTION</t>
        </is>
      </c>
    </row>
    <row r="15">
      <c r="A15" t="inlineStr">
        <is>
          <t>eSHRUBS_SECONDARY_LAYER_SPECIES_SPECIES_DESCRIPTION</t>
        </is>
      </c>
    </row>
    <row r="16">
      <c r="A16" t="inlineStr">
        <is>
          <t>eWOODY_FUEL_ROTTEN_WOOD_ALL_ROTTEN_WOOD_SPECIES_SPECIES_DESCRIPTION</t>
        </is>
      </c>
    </row>
    <row r="17">
      <c r="A17" t="inlineStr">
        <is>
          <t>eWOODY_FUEL_SOUND_WOOD_ALL_SOUND_WOOD_SPECIES_SPECIES_DESCRIPTION</t>
        </is>
      </c>
    </row>
    <row r="18">
      <c r="A18" t="inlineStr">
        <is>
          <t>eWOODY_FUEL_STUMPS_LIGHTERED_PITCHY_SPECIES_SPECIES_DESCRIPTION</t>
        </is>
      </c>
    </row>
    <row r="19">
      <c r="A19" t="inlineStr">
        <is>
          <t>eWOODY_FUEL_STUMPS_ROTTEN_SPECIES_SPECIES_DESCRIPTION</t>
        </is>
      </c>
    </row>
    <row r="20">
      <c r="A20" t="inlineStr">
        <is>
          <t>eWOODY_FUEL_STUMPS_SOUND_SPECIES_SPECIES_DESCRIPTION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93"/>
  <sheetViews>
    <sheetView tabSelected="1" topLeftCell="F1" zoomScale="75" zoomScaleNormal="75" workbookViewId="0">
      <selection activeCell="L88" sqref="L88"/>
    </sheetView>
  </sheetViews>
  <sheetFormatPr baseColWidth="8" defaultRowHeight="15"/>
  <cols>
    <col width="62.42578125" customWidth="1" style="27" min="1" max="1"/>
    <col width="28.140625" customWidth="1" style="35" min="2" max="2"/>
    <col width="26.5703125" customWidth="1" style="21" min="3" max="3"/>
    <col width="26.5703125" customWidth="1" style="25" min="4" max="4"/>
    <col width="26.5703125" customWidth="1" style="26" min="5" max="5"/>
    <col width="26.5703125" customWidth="1" style="21" min="6" max="6"/>
    <col width="26.5703125" customWidth="1" style="25" min="7" max="7"/>
    <col width="26.5703125" customWidth="1" style="26" min="8" max="8"/>
    <col width="26.5703125" customWidth="1" style="21" min="9" max="9"/>
    <col width="26.5703125" customWidth="1" style="25" min="10" max="10"/>
    <col width="26.5703125" customWidth="1" style="26" min="11" max="11"/>
    <col width="9.140625" customWidth="1" style="27" min="12" max="16384"/>
  </cols>
  <sheetData>
    <row r="1" customFormat="1" s="27">
      <c r="B1" s="1" t="inlineStr">
        <is>
          <t>Suggested Short Name</t>
        </is>
      </c>
      <c r="C1" s="21" t="n">
        <v>211</v>
      </c>
      <c r="D1" s="22" t="n">
        <v>212</v>
      </c>
      <c r="E1" s="23" t="n">
        <v>213</v>
      </c>
      <c r="F1" s="21" t="n">
        <v>221</v>
      </c>
      <c r="G1" s="22" t="n">
        <v>222</v>
      </c>
      <c r="H1" s="26" t="n">
        <v>223</v>
      </c>
      <c r="I1" s="21" t="n">
        <v>231</v>
      </c>
      <c r="J1" s="22" t="n">
        <v>232</v>
      </c>
      <c r="K1" s="23" t="n">
        <v>233</v>
      </c>
    </row>
    <row r="2" hidden="1" s="35">
      <c r="A2" s="24" t="inlineStr">
        <is>
          <t>eCANOPY_TREES_TOTAL_PERCENT_COVER</t>
        </is>
      </c>
      <c r="B2" t="inlineStr">
        <is>
          <t>Canopy_TotalCover</t>
        </is>
      </c>
      <c r="C2" s="21" t="inlineStr">
        <is>
          <t>* = 0.85</t>
        </is>
      </c>
      <c r="D2" s="22" t="n"/>
      <c r="F2" s="21" t="inlineStr">
        <is>
          <t>* = 0.67</t>
        </is>
      </c>
      <c r="I2" s="21" t="inlineStr">
        <is>
          <t>* = 0.33</t>
        </is>
      </c>
    </row>
    <row r="3" hidden="1" s="35">
      <c r="A3" s="24" t="inlineStr">
        <is>
          <t>eCANOPY_TREES_OVERSTORY_DIAMETER_AT_BREAST_HEIGHT</t>
        </is>
      </c>
      <c r="B3" t="inlineStr">
        <is>
          <t>OTree_Diameter</t>
        </is>
      </c>
      <c r="C3" s="21" t="inlineStr">
        <is>
          <t>* = 1.1</t>
        </is>
      </c>
      <c r="F3" s="21" t="inlineStr">
        <is>
          <t>* = 1.25</t>
        </is>
      </c>
      <c r="I3" s="21" t="inlineStr">
        <is>
          <t>* = 1.25</t>
        </is>
      </c>
    </row>
    <row r="4" hidden="1" s="35">
      <c r="A4" s="24" t="inlineStr">
        <is>
          <t>eCANOPY_TREES_OVERSTORY_HEIGHT_TO_LIVE_CROWN</t>
        </is>
      </c>
      <c r="B4" t="inlineStr">
        <is>
          <t>OTree_HeightLiveCrown</t>
        </is>
      </c>
      <c r="C4" s="21" t="inlineStr">
        <is>
          <t>* = 1.25</t>
        </is>
      </c>
      <c r="F4" s="21" t="inlineStr">
        <is>
          <t>* = 1.5</t>
        </is>
      </c>
      <c r="I4" s="21" t="inlineStr">
        <is>
          <t>* = 1.5</t>
        </is>
      </c>
    </row>
    <row r="5" hidden="1" s="35">
      <c r="A5" s="24" t="inlineStr">
        <is>
          <t>eCANOPY_TREES_OVERSTORY_HEIGHT</t>
        </is>
      </c>
      <c r="B5" t="inlineStr">
        <is>
          <t>OTree_Height</t>
        </is>
      </c>
    </row>
    <row r="6" hidden="1" s="35">
      <c r="A6" s="24" t="inlineStr">
        <is>
          <t>eCANOPY_TREES_OVERSTORY_PERCENT_COVER</t>
        </is>
      </c>
      <c r="B6" t="inlineStr">
        <is>
          <t>OTree_Cover</t>
        </is>
      </c>
      <c r="C6" s="21" t="inlineStr">
        <is>
          <t>* = 0.75</t>
        </is>
      </c>
      <c r="D6" s="22" t="n"/>
      <c r="F6" s="21" t="inlineStr">
        <is>
          <t>* = 0.5</t>
        </is>
      </c>
      <c r="I6" s="21" t="inlineStr">
        <is>
          <t>* = 0.25</t>
        </is>
      </c>
    </row>
    <row r="7" hidden="1" s="35">
      <c r="A7" s="24" t="inlineStr">
        <is>
          <t>eCANOPY_TREES_OVERSTORY_STEM_DENSITY</t>
        </is>
      </c>
      <c r="B7" t="inlineStr">
        <is>
          <t>OTree_Density</t>
        </is>
      </c>
      <c r="C7" s="21" t="inlineStr">
        <is>
          <t>* = 0.75</t>
        </is>
      </c>
      <c r="D7" s="22" t="n"/>
      <c r="F7" s="21" t="inlineStr">
        <is>
          <t>* = 0.5</t>
        </is>
      </c>
      <c r="I7" s="21" t="inlineStr">
        <is>
          <t>* = 0.25</t>
        </is>
      </c>
    </row>
    <row r="8" hidden="1" s="35">
      <c r="A8" s="24" t="inlineStr">
        <is>
          <t>eCANOPY_TREES_MIDSTORY_DIAMETER_AT_BREAST_HEIGHT</t>
        </is>
      </c>
      <c r="B8" t="inlineStr">
        <is>
          <t>MTree_Diameter</t>
        </is>
      </c>
      <c r="C8" s="21" t="inlineStr">
        <is>
          <t>* = 1.1</t>
        </is>
      </c>
      <c r="F8" s="21" t="inlineStr">
        <is>
          <t>* = 1.25</t>
        </is>
      </c>
      <c r="I8" s="21" t="inlineStr">
        <is>
          <t>* = 1.25</t>
        </is>
      </c>
    </row>
    <row r="9" hidden="1" s="35">
      <c r="A9" s="24" t="inlineStr">
        <is>
          <t>eCANOPY_TREES_MIDSTORY_HEIGHT_TO_LIVE_CROWN</t>
        </is>
      </c>
      <c r="B9" t="inlineStr">
        <is>
          <t>MTree_HeightLiveCrown</t>
        </is>
      </c>
      <c r="C9" s="21" t="inlineStr">
        <is>
          <t>* = 1.25</t>
        </is>
      </c>
      <c r="F9" s="21" t="inlineStr">
        <is>
          <t>* = 1.5</t>
        </is>
      </c>
      <c r="I9" s="21" t="inlineStr">
        <is>
          <t>* = 1.5</t>
        </is>
      </c>
    </row>
    <row r="10" hidden="1" s="35">
      <c r="A10" s="24" t="inlineStr">
        <is>
          <t>eCANOPY_TREES_MIDSTORY_HEIGHT</t>
        </is>
      </c>
      <c r="B10" t="inlineStr">
        <is>
          <t>MTree_Height</t>
        </is>
      </c>
    </row>
    <row r="11" hidden="1" s="35">
      <c r="A11" s="24" t="inlineStr">
        <is>
          <t>eCANOPY_TREES_MIDSTORY_PERCENT_COVER</t>
        </is>
      </c>
      <c r="B11" t="inlineStr">
        <is>
          <t>MTree_Cover</t>
        </is>
      </c>
      <c r="C11" s="21" t="inlineStr">
        <is>
          <t>* = 0.75</t>
        </is>
      </c>
      <c r="D11" s="22" t="n"/>
      <c r="F11" s="21" t="inlineStr">
        <is>
          <t>* = 0.5</t>
        </is>
      </c>
      <c r="I11" s="21" t="inlineStr">
        <is>
          <t>* = 0.25</t>
        </is>
      </c>
    </row>
    <row r="12" hidden="1" s="35">
      <c r="A12" s="24" t="inlineStr">
        <is>
          <t>eCANOPY_TREES_MIDSTORY_STEM_DENSITY</t>
        </is>
      </c>
      <c r="B12" t="inlineStr">
        <is>
          <t>MTree_Density</t>
        </is>
      </c>
      <c r="C12" s="21" t="inlineStr">
        <is>
          <t>* = 0.75</t>
        </is>
      </c>
      <c r="D12" s="22" t="n"/>
      <c r="F12" s="21" t="inlineStr">
        <is>
          <t>* = 0.5</t>
        </is>
      </c>
      <c r="I12" s="21" t="inlineStr">
        <is>
          <t>* = 0.25</t>
        </is>
      </c>
    </row>
    <row r="13" hidden="1" s="35">
      <c r="A13" s="24" t="inlineStr">
        <is>
          <t>eCANOPY_TREES_UNDERSTORY_DIAMETER_AT_BREAST_HEIGHT</t>
        </is>
      </c>
      <c r="B13" t="inlineStr">
        <is>
          <t>UTree_Diameter</t>
        </is>
      </c>
      <c r="F13" s="21" t="inlineStr">
        <is>
          <t>* = 0</t>
        </is>
      </c>
      <c r="I13" s="21" t="inlineStr">
        <is>
          <t>* = 0</t>
        </is>
      </c>
    </row>
    <row r="14" hidden="1" s="35">
      <c r="A14" s="24" t="inlineStr">
        <is>
          <t>eCANOPY_TREES_UNDERSTORY_HEIGHT_TO_LIVE_CROWN</t>
        </is>
      </c>
      <c r="B14" t="inlineStr">
        <is>
          <t>UTree_HeightLiveCrown</t>
        </is>
      </c>
      <c r="F14" s="21" t="inlineStr">
        <is>
          <t>* = 0</t>
        </is>
      </c>
      <c r="I14" s="21" t="inlineStr">
        <is>
          <t>* = 0</t>
        </is>
      </c>
    </row>
    <row r="15" hidden="1" s="35">
      <c r="A15" s="24" t="inlineStr">
        <is>
          <t>eCANOPY_TREES_UNDERSTORY_HEIGHT</t>
        </is>
      </c>
      <c r="B15" t="inlineStr">
        <is>
          <t>UTree_Height</t>
        </is>
      </c>
      <c r="F15" s="21" t="inlineStr">
        <is>
          <t>* = 0</t>
        </is>
      </c>
      <c r="I15" s="21" t="inlineStr">
        <is>
          <t>* = 0</t>
        </is>
      </c>
    </row>
    <row r="16" hidden="1" s="35">
      <c r="A16" s="24" t="inlineStr">
        <is>
          <t>eCANOPY_TREES_UNDERSTORY_PERCENT_COVER</t>
        </is>
      </c>
      <c r="B16" t="inlineStr">
        <is>
          <t>UTree_Cover</t>
        </is>
      </c>
      <c r="C16" s="21" t="inlineStr">
        <is>
          <t>* = 0.25</t>
        </is>
      </c>
      <c r="F16" s="21" t="inlineStr">
        <is>
          <t>* = 0</t>
        </is>
      </c>
      <c r="I16" s="21" t="inlineStr">
        <is>
          <t>* = 0</t>
        </is>
      </c>
    </row>
    <row r="17" hidden="1" s="35">
      <c r="A17" s="24" t="inlineStr">
        <is>
          <t>eCANOPY_TREES_UNDERSTORY_STEM_DENSITY</t>
        </is>
      </c>
      <c r="B17" t="inlineStr">
        <is>
          <t>UTree_Density</t>
        </is>
      </c>
      <c r="C17" s="21" t="inlineStr">
        <is>
          <t>* = 0.25</t>
        </is>
      </c>
      <c r="F17" s="21" t="inlineStr">
        <is>
          <t>* = 0</t>
        </is>
      </c>
      <c r="I17" s="21" t="inlineStr">
        <is>
          <t>* = 0</t>
        </is>
      </c>
    </row>
    <row r="18" hidden="1" s="35">
      <c r="A18" s="24" t="inlineStr">
        <is>
          <t>eCANOPY_SNAGS_CLASS_1_ALL_OTHERS_DIAMETER</t>
        </is>
      </c>
      <c r="B18" t="inlineStr">
        <is>
          <t>C1Snag_Diameter</t>
        </is>
      </c>
    </row>
    <row r="19" hidden="1" s="35">
      <c r="A19" s="24" t="inlineStr">
        <is>
          <t>eCANOPY_SNAGS_CLASS_1_ALL_OTHERS_HEIGHT</t>
        </is>
      </c>
      <c r="B19" t="inlineStr">
        <is>
          <t>C1Snag_Height</t>
        </is>
      </c>
    </row>
    <row r="20" hidden="1" s="35">
      <c r="A20" s="24" t="inlineStr">
        <is>
          <t>eCANOPY_SNAGS_CLASS_1_ALL_OTHERS_STEM_DENSITY</t>
        </is>
      </c>
      <c r="B20" t="inlineStr">
        <is>
          <t>C1Snag_Density</t>
        </is>
      </c>
    </row>
    <row r="21" hidden="1" s="35">
      <c r="A21" s="24" t="inlineStr">
        <is>
          <t>eCANOPY_SNAGS_CLASS_1_CONIFERS_WITH_FOLIAGE_HEIGHT_TO_CROWN_BASE</t>
        </is>
      </c>
      <c r="B21" t="inlineStr">
        <is>
          <t>C1FSnag_HeightCrownBase</t>
        </is>
      </c>
      <c r="E21" s="23" t="n"/>
    </row>
    <row r="22" hidden="1" s="35">
      <c r="A22" s="24" t="inlineStr">
        <is>
          <t>eCANOPY_SNAGS_CLASS_1_CONIFERS_WITH_FOLIAGE_DIAMETER</t>
        </is>
      </c>
      <c r="B22" t="inlineStr">
        <is>
          <t>C1FSnag_Diameter</t>
        </is>
      </c>
      <c r="D22" s="22" t="n"/>
      <c r="E22" s="23" t="n"/>
      <c r="G22" s="22" t="n"/>
      <c r="J22" s="22" t="n"/>
    </row>
    <row r="23" hidden="1" s="35">
      <c r="A23" s="24" t="inlineStr">
        <is>
          <t>eCANOPY_SNAGS_CLASS_1_CONIFERS_WITH_FOLIAGE_HEIGHT</t>
        </is>
      </c>
      <c r="B23" t="inlineStr">
        <is>
          <t>C1FSnag_Height</t>
        </is>
      </c>
      <c r="E23" s="23" t="n"/>
      <c r="G23" s="22" t="n"/>
      <c r="J23" s="22" t="n"/>
    </row>
    <row r="24" hidden="1" s="35">
      <c r="A24" s="24" t="inlineStr">
        <is>
          <t>eCANOPY_SNAGS_CLASS_1_CONIFERS_WITH_FOLIAGE_PERCENT_COVER</t>
        </is>
      </c>
      <c r="B24" t="inlineStr">
        <is>
          <t>C1FSnag_Cover</t>
        </is>
      </c>
      <c r="D24" s="22" t="n"/>
      <c r="E24" s="23" t="n"/>
    </row>
    <row r="25" hidden="1" s="35">
      <c r="A25" s="24" t="inlineStr">
        <is>
          <t>eCANOPY_SNAGS_CLASS_1_CONIFERS_WITH_FOLIAGE_STEM_DENSITY</t>
        </is>
      </c>
      <c r="B25" t="inlineStr">
        <is>
          <t>C1FSnag_Density</t>
        </is>
      </c>
      <c r="E25" s="23" t="n"/>
    </row>
    <row r="26" hidden="1" s="35">
      <c r="A26" s="24" t="inlineStr">
        <is>
          <t>eCANOPY_SNAGS_CLASS_2_DIAMETER</t>
        </is>
      </c>
      <c r="B26" t="inlineStr">
        <is>
          <t>C2Snag_Diameter</t>
        </is>
      </c>
    </row>
    <row r="27" hidden="1" s="35">
      <c r="A27" s="24" t="inlineStr">
        <is>
          <t>eCANOPY_SNAGS_CLASS_2_HEIGHT</t>
        </is>
      </c>
      <c r="B27" t="inlineStr">
        <is>
          <t>C2Snag_Height</t>
        </is>
      </c>
    </row>
    <row r="28" hidden="1" s="35">
      <c r="A28" s="24" t="inlineStr">
        <is>
          <t>eCANOPY_SNAGS_CLASS_2_STEM_DENSITY</t>
        </is>
      </c>
      <c r="B28" t="inlineStr">
        <is>
          <t>C2Snag_Density</t>
        </is>
      </c>
    </row>
    <row r="29" hidden="1" s="35">
      <c r="A29" s="24" t="inlineStr">
        <is>
          <t>eCANOPY_SNAGS_CLASS_3_DIAMETER</t>
        </is>
      </c>
      <c r="B29" t="inlineStr">
        <is>
          <t>C3Snag_Diameter</t>
        </is>
      </c>
    </row>
    <row r="30" hidden="1" s="35">
      <c r="A30" s="24" t="inlineStr">
        <is>
          <t>eCANOPY_SNAGS_CLASS_3_HEIGHT</t>
        </is>
      </c>
      <c r="B30" t="inlineStr">
        <is>
          <t>C3Snag_Height</t>
        </is>
      </c>
    </row>
    <row r="31" hidden="1" s="35">
      <c r="A31" s="24" t="inlineStr">
        <is>
          <t>eCANOPY_SNAGS_CLASS_3_STEM_DENSITY</t>
        </is>
      </c>
      <c r="B31" t="inlineStr">
        <is>
          <t>C3Snag_Density</t>
        </is>
      </c>
    </row>
    <row r="32" hidden="1" s="35">
      <c r="A32" s="24" t="inlineStr">
        <is>
          <t>eCANOPY_LADDER_FUELS_MAXIMUM_HEIGHT</t>
        </is>
      </c>
      <c r="B32" t="inlineStr">
        <is>
          <t>Ladder_MaxHeight</t>
        </is>
      </c>
    </row>
    <row r="33" hidden="1" s="35">
      <c r="A33" s="24" t="inlineStr">
        <is>
          <t>eCANOPY_LADDER_FUELS_MINIMUM_HEIGHT</t>
        </is>
      </c>
      <c r="B33" t="inlineStr">
        <is>
          <t>Ladder_MinHeight</t>
        </is>
      </c>
    </row>
    <row r="34" hidden="1" s="35">
      <c r="A34" s="24" t="inlineStr">
        <is>
          <t>eSHRUBS_PRIMARY_LAYER_HEIGHT</t>
        </is>
      </c>
      <c r="B34" t="inlineStr">
        <is>
          <t>1Shrub_Height</t>
        </is>
      </c>
      <c r="E34" s="23" t="n"/>
      <c r="J34" s="22" t="n"/>
      <c r="K34" s="23" t="n"/>
    </row>
    <row r="35" hidden="1" s="35">
      <c r="A35" s="24" t="inlineStr">
        <is>
          <t>eSHRUBS_PRIMARY_LAYER_PERCENT_COVER</t>
        </is>
      </c>
      <c r="B35" t="inlineStr">
        <is>
          <t>1Shrub_Cover</t>
        </is>
      </c>
      <c r="C35" s="21" t="inlineStr">
        <is>
          <t>* = 0.75</t>
        </is>
      </c>
      <c r="D35" s="22" t="inlineStr">
        <is>
          <t>* = 1.1</t>
        </is>
      </c>
      <c r="E35" s="23" t="inlineStr">
        <is>
          <t>* = 1.1</t>
        </is>
      </c>
      <c r="F35" s="21" t="inlineStr">
        <is>
          <t>* = 0.5</t>
        </is>
      </c>
      <c r="G35" s="22" t="inlineStr">
        <is>
          <t>* = 1.25</t>
        </is>
      </c>
      <c r="H35" s="23" t="inlineStr">
        <is>
          <t>* = 1.25</t>
        </is>
      </c>
      <c r="I35" s="21" t="inlineStr">
        <is>
          <t>* = 0.25</t>
        </is>
      </c>
      <c r="J35" s="22" t="inlineStr">
        <is>
          <t>* = 1.5</t>
        </is>
      </c>
      <c r="K35" s="23" t="inlineStr">
        <is>
          <t>* = 1.5</t>
        </is>
      </c>
    </row>
    <row r="36" hidden="1" s="35">
      <c r="A36" s="24" t="inlineStr">
        <is>
          <t>eSHRUBS_PRIMARY_LAYER_PERCENT_LIVE</t>
        </is>
      </c>
      <c r="B36" t="inlineStr">
        <is>
          <t>1Shrub_Live</t>
        </is>
      </c>
      <c r="C36" s="21" t="inlineStr">
        <is>
          <t>* = 0.5</t>
        </is>
      </c>
      <c r="D36" s="22" t="inlineStr">
        <is>
          <t xml:space="preserve"> * = 1/0.5</t>
        </is>
      </c>
      <c r="E36" s="23" t="n"/>
      <c r="F36" s="21" t="inlineStr">
        <is>
          <t>* = 0.25</t>
        </is>
      </c>
      <c r="G36" s="22" t="inlineStr">
        <is>
          <t xml:space="preserve"> * = 1/0.25</t>
        </is>
      </c>
      <c r="H36" s="23" t="n"/>
      <c r="I36" s="21" t="inlineStr">
        <is>
          <t>* = 0.25</t>
        </is>
      </c>
      <c r="J36" s="22" t="inlineStr">
        <is>
          <t xml:space="preserve"> * = 1/0.25</t>
        </is>
      </c>
      <c r="K36" s="23" t="n"/>
    </row>
    <row r="37" hidden="1" s="35">
      <c r="A37" s="24" t="inlineStr">
        <is>
          <t>eSHRUBS_SECONDARY_LAYER_HEIGHT</t>
        </is>
      </c>
      <c r="B37" t="inlineStr">
        <is>
          <t>2Shrub_Height</t>
        </is>
      </c>
      <c r="E37" s="23" t="n"/>
      <c r="H37" s="23" t="n"/>
      <c r="K37" s="23" t="n"/>
    </row>
    <row r="38" hidden="1" s="35">
      <c r="A38" s="24" t="inlineStr">
        <is>
          <t>eSHRUBS_SECONDARY_LAYER_PERCENT_COVER</t>
        </is>
      </c>
      <c r="B38" t="inlineStr">
        <is>
          <t>2Shrub_Cover</t>
        </is>
      </c>
      <c r="C38" s="21" t="inlineStr">
        <is>
          <t>* = 0.75</t>
        </is>
      </c>
      <c r="D38" s="22" t="inlineStr">
        <is>
          <t>* = 1.1</t>
        </is>
      </c>
      <c r="E38" s="23" t="inlineStr">
        <is>
          <t>* = 1.1</t>
        </is>
      </c>
      <c r="F38" s="21" t="inlineStr">
        <is>
          <t>* = 0.5</t>
        </is>
      </c>
      <c r="G38" s="22" t="inlineStr">
        <is>
          <t>* = 1.25</t>
        </is>
      </c>
      <c r="H38" s="23" t="inlineStr">
        <is>
          <t>* = 1.25</t>
        </is>
      </c>
      <c r="I38" s="21" t="inlineStr">
        <is>
          <t>* = 0.25</t>
        </is>
      </c>
      <c r="J38" s="22" t="inlineStr">
        <is>
          <t>* = 1.5</t>
        </is>
      </c>
      <c r="K38" s="23" t="inlineStr">
        <is>
          <t>* = 1.5</t>
        </is>
      </c>
    </row>
    <row r="39" hidden="1" s="35">
      <c r="A39" s="24" t="inlineStr">
        <is>
          <t>eSHRUBS_SECONDARY_LAYER_PERCENT_LIVE</t>
        </is>
      </c>
      <c r="B39" t="inlineStr">
        <is>
          <t>2Shrub_Live</t>
        </is>
      </c>
      <c r="C39" s="21" t="inlineStr">
        <is>
          <t>* = 0.5</t>
        </is>
      </c>
      <c r="D39" s="22" t="inlineStr">
        <is>
          <t xml:space="preserve"> * = 1/0.5</t>
        </is>
      </c>
      <c r="E39" s="23" t="n"/>
      <c r="F39" s="21" t="inlineStr">
        <is>
          <t>* = 0.25</t>
        </is>
      </c>
      <c r="G39" s="22" t="inlineStr">
        <is>
          <t xml:space="preserve"> * = 1/0.25</t>
        </is>
      </c>
      <c r="H39" s="23" t="n"/>
      <c r="I39" s="21" t="inlineStr">
        <is>
          <t>* = 0.25</t>
        </is>
      </c>
      <c r="J39" s="22" t="inlineStr">
        <is>
          <t xml:space="preserve"> * = 1/0.25</t>
        </is>
      </c>
      <c r="K39" s="23" t="n"/>
    </row>
    <row r="40" hidden="1" s="35">
      <c r="A40" s="24" t="inlineStr">
        <is>
          <t>eHERBACEOUS_PRIMARY_LAYER_HEIGHT</t>
        </is>
      </c>
      <c r="B40" t="inlineStr">
        <is>
          <t>1Herb_Height</t>
        </is>
      </c>
      <c r="D40" s="22" t="n"/>
      <c r="G40" s="22" t="n"/>
      <c r="J40" s="22" t="n"/>
      <c r="K40" s="23" t="n"/>
    </row>
    <row r="41" hidden="1" s="35">
      <c r="A41" s="24" t="inlineStr">
        <is>
          <t>eHERBACEOUS_PRIMARY_LAYER_LOADING</t>
        </is>
      </c>
      <c r="B41" t="inlineStr">
        <is>
          <t>1Herb_Load</t>
        </is>
      </c>
      <c r="C41" s="21" t="inlineStr">
        <is>
          <t>* = 0.75</t>
        </is>
      </c>
      <c r="D41" s="22" t="inlineStr">
        <is>
          <t>* = 1.25</t>
        </is>
      </c>
      <c r="E41" s="23" t="inlineStr">
        <is>
          <t xml:space="preserve"> * = 1.25</t>
        </is>
      </c>
      <c r="F41" s="21" t="inlineStr">
        <is>
          <t>* = 0.5</t>
        </is>
      </c>
      <c r="G41" s="22" t="inlineStr">
        <is>
          <t>* = 1.5</t>
        </is>
      </c>
      <c r="H41" s="23" t="inlineStr">
        <is>
          <t>* = 1.5</t>
        </is>
      </c>
      <c r="I41" s="21" t="inlineStr">
        <is>
          <t>* = 0.25</t>
        </is>
      </c>
      <c r="J41" s="22" t="inlineStr">
        <is>
          <t>* = 1.5</t>
        </is>
      </c>
      <c r="K41" s="23" t="inlineStr">
        <is>
          <t>* = 1.5</t>
        </is>
      </c>
    </row>
    <row r="42" hidden="1" s="35">
      <c r="A42" s="24" t="inlineStr">
        <is>
          <t>eHERBACEOUS_PRIMARY_LAYER_PERCENT_COVER</t>
        </is>
      </c>
      <c r="B42" t="inlineStr">
        <is>
          <t>1Herb_Cover</t>
        </is>
      </c>
      <c r="C42" s="21" t="inlineStr">
        <is>
          <t>* = 0.75</t>
        </is>
      </c>
      <c r="D42" s="22" t="inlineStr">
        <is>
          <t>* = 1.25</t>
        </is>
      </c>
      <c r="E42" s="23" t="inlineStr">
        <is>
          <t xml:space="preserve"> * = 1.25</t>
        </is>
      </c>
      <c r="F42" s="21" t="inlineStr">
        <is>
          <t>* = 0.5</t>
        </is>
      </c>
      <c r="G42" s="22" t="inlineStr">
        <is>
          <t>* = 1.5</t>
        </is>
      </c>
      <c r="H42" s="23" t="inlineStr">
        <is>
          <t>* = 1.5</t>
        </is>
      </c>
      <c r="I42" s="21" t="inlineStr">
        <is>
          <t>* = 0.25</t>
        </is>
      </c>
      <c r="J42" s="22" t="inlineStr">
        <is>
          <t>* = 1.5</t>
        </is>
      </c>
      <c r="K42" s="23" t="inlineStr">
        <is>
          <t>* = 1.5</t>
        </is>
      </c>
    </row>
    <row r="43" hidden="1" s="35">
      <c r="A43" s="24" t="inlineStr">
        <is>
          <t>eHERBACEOUS_PRIMARY_LAYER_PERCENT_LIVE</t>
        </is>
      </c>
      <c r="B43" t="inlineStr">
        <is>
          <t>1Herb_Live</t>
        </is>
      </c>
      <c r="C43" s="21" t="inlineStr">
        <is>
          <t>* = 0.75</t>
        </is>
      </c>
      <c r="D43" s="22" t="inlineStr">
        <is>
          <t>* = 1/0.75</t>
        </is>
      </c>
      <c r="E43" s="23" t="n"/>
      <c r="F43" s="21" t="inlineStr">
        <is>
          <t>* = 0.5</t>
        </is>
      </c>
      <c r="G43" s="22" t="inlineStr">
        <is>
          <t>* = 1/0.5</t>
        </is>
      </c>
      <c r="I43" s="21" t="inlineStr">
        <is>
          <t>* = 0.25</t>
        </is>
      </c>
      <c r="J43" s="22" t="inlineStr">
        <is>
          <t>* = 1/0.25</t>
        </is>
      </c>
      <c r="K43" s="23" t="n"/>
    </row>
    <row r="44" hidden="1" s="35">
      <c r="A44" s="24" t="inlineStr">
        <is>
          <t>eHERBACEOUS_SECONDARY_LAYER_HEIGHT</t>
        </is>
      </c>
      <c r="B44" t="inlineStr">
        <is>
          <t>2Herb_Height</t>
        </is>
      </c>
      <c r="D44" s="22" t="n"/>
      <c r="J44" s="22" t="n"/>
      <c r="K44" s="23" t="n"/>
    </row>
    <row r="45" hidden="1" s="35">
      <c r="A45" s="24" t="inlineStr">
        <is>
          <t>eHERBACEOUS_SECONDARY_LAYER_LOADING</t>
        </is>
      </c>
      <c r="B45" t="inlineStr">
        <is>
          <t>2Herb_Load</t>
        </is>
      </c>
      <c r="C45" s="21" t="inlineStr">
        <is>
          <t>* = 0.75</t>
        </is>
      </c>
      <c r="D45" s="22" t="inlineStr">
        <is>
          <t>* = 1.25</t>
        </is>
      </c>
      <c r="E45" s="23" t="inlineStr">
        <is>
          <t xml:space="preserve"> * = 1.25</t>
        </is>
      </c>
      <c r="F45" s="21" t="inlineStr">
        <is>
          <t>* = 0.5</t>
        </is>
      </c>
      <c r="G45" s="22" t="inlineStr">
        <is>
          <t>* = 1.5</t>
        </is>
      </c>
      <c r="H45" s="23" t="inlineStr">
        <is>
          <t>* = 1.5</t>
        </is>
      </c>
      <c r="I45" s="21" t="inlineStr">
        <is>
          <t>* = 0.25</t>
        </is>
      </c>
      <c r="J45" s="22" t="inlineStr">
        <is>
          <t>* = 1.5</t>
        </is>
      </c>
      <c r="K45" s="23" t="inlineStr">
        <is>
          <t>* = 1.5</t>
        </is>
      </c>
    </row>
    <row r="46" hidden="1" s="35">
      <c r="A46" s="24" t="inlineStr">
        <is>
          <t>eHERBACEOUS_SECONDARY_LAYER_PERCENT_COVER</t>
        </is>
      </c>
      <c r="B46" t="inlineStr">
        <is>
          <t>2Herb_Cover</t>
        </is>
      </c>
      <c r="C46" s="21" t="inlineStr">
        <is>
          <t>* = 0.75</t>
        </is>
      </c>
      <c r="D46" s="22" t="inlineStr">
        <is>
          <t>* = 1.25</t>
        </is>
      </c>
      <c r="E46" s="23" t="inlineStr">
        <is>
          <t xml:space="preserve"> * = 1.25</t>
        </is>
      </c>
      <c r="F46" s="21" t="inlineStr">
        <is>
          <t>* = 0.5</t>
        </is>
      </c>
      <c r="G46" s="22" t="inlineStr">
        <is>
          <t>* = 1.5</t>
        </is>
      </c>
      <c r="H46" s="23" t="inlineStr">
        <is>
          <t>* = 1.5</t>
        </is>
      </c>
      <c r="I46" s="21" t="inlineStr">
        <is>
          <t>* = 0.25</t>
        </is>
      </c>
      <c r="J46" s="22" t="inlineStr">
        <is>
          <t>* = 1.5</t>
        </is>
      </c>
      <c r="K46" s="23" t="inlineStr">
        <is>
          <t>* = 1.5</t>
        </is>
      </c>
    </row>
    <row r="47" hidden="1" s="35">
      <c r="A47" s="24" t="inlineStr">
        <is>
          <t>eHERBACEOUS_SECONDARY_LAYER_PERCENT_LIVE</t>
        </is>
      </c>
      <c r="B47" t="inlineStr">
        <is>
          <t>2Herb_Live</t>
        </is>
      </c>
      <c r="C47" s="21" t="inlineStr">
        <is>
          <t>* = 0.75</t>
        </is>
      </c>
      <c r="D47" s="22" t="inlineStr">
        <is>
          <t>* = 1/0.75</t>
        </is>
      </c>
      <c r="F47" s="21" t="inlineStr">
        <is>
          <t>* = 0.5</t>
        </is>
      </c>
      <c r="G47" s="22" t="inlineStr">
        <is>
          <t>* = 1/0.5</t>
        </is>
      </c>
      <c r="I47" s="21" t="inlineStr">
        <is>
          <t>* = 0.25</t>
        </is>
      </c>
      <c r="J47" s="22" t="inlineStr">
        <is>
          <t>* = 1/0.25</t>
        </is>
      </c>
      <c r="K47" s="23" t="n"/>
    </row>
    <row r="48" hidden="1" s="35">
      <c r="A48" s="24" t="inlineStr">
        <is>
          <t>eWOODY_FUEL_ALL_DOWNED_WOODY_FUEL_DEPTH</t>
        </is>
      </c>
      <c r="B48" t="inlineStr">
        <is>
          <t>FineWood_Depth</t>
        </is>
      </c>
      <c r="C48" s="21" t="inlineStr">
        <is>
          <t>* = 1.25</t>
        </is>
      </c>
      <c r="D48" s="22" t="inlineStr">
        <is>
          <t>* = 0.75</t>
        </is>
      </c>
      <c r="E48" s="23" t="inlineStr">
        <is>
          <t>* = 0.5</t>
        </is>
      </c>
      <c r="F48" s="21" t="inlineStr">
        <is>
          <t>* = 1.5</t>
        </is>
      </c>
      <c r="G48" s="22" t="inlineStr">
        <is>
          <t>* = 0.75</t>
        </is>
      </c>
      <c r="H48" s="23" t="inlineStr">
        <is>
          <t>* = 0.5</t>
        </is>
      </c>
      <c r="I48" s="21" t="inlineStr">
        <is>
          <t>* = 2</t>
        </is>
      </c>
      <c r="J48" s="22" t="inlineStr">
        <is>
          <t>* = 0.75</t>
        </is>
      </c>
      <c r="K48" s="23" t="inlineStr">
        <is>
          <t>* = 0.5</t>
        </is>
      </c>
    </row>
    <row r="49" hidden="1" s="35">
      <c r="A49" s="24" t="inlineStr">
        <is>
          <t>eWOODY_FUEL_ALL_DOWNED_WOODY_FUEL_TOTAL_PERCENT_COVER</t>
        </is>
      </c>
      <c r="B49" t="inlineStr">
        <is>
          <t>FineWood_Cover</t>
        </is>
      </c>
      <c r="C49" s="21" t="inlineStr">
        <is>
          <t>* = 1.25</t>
        </is>
      </c>
      <c r="D49" s="22" t="inlineStr">
        <is>
          <t>* = 0.75</t>
        </is>
      </c>
      <c r="E49" s="23" t="inlineStr">
        <is>
          <t>* = 0.5</t>
        </is>
      </c>
      <c r="F49" s="21" t="inlineStr">
        <is>
          <t>* = 1.5</t>
        </is>
      </c>
      <c r="G49" s="22" t="inlineStr">
        <is>
          <t>* = 0.75</t>
        </is>
      </c>
      <c r="H49" s="23" t="inlineStr">
        <is>
          <t>* = 0.5</t>
        </is>
      </c>
      <c r="I49" s="21" t="inlineStr">
        <is>
          <t>* = 2</t>
        </is>
      </c>
      <c r="J49" s="22" t="inlineStr">
        <is>
          <t>* = 0.75</t>
        </is>
      </c>
      <c r="K49" s="23" t="inlineStr">
        <is>
          <t>* = 0.5</t>
        </is>
      </c>
    </row>
    <row r="50" hidden="1" s="35">
      <c r="A50" s="24" t="inlineStr">
        <is>
          <t>eWOODY_FUEL_SOUND_WOOD_LOADINGS_ZERO_TO_THREE_INCHES_ONE_TO_THREE_INCHES</t>
        </is>
      </c>
      <c r="B50" t="inlineStr">
        <is>
          <t>SWood_100hr</t>
        </is>
      </c>
      <c r="C50" s="21" t="inlineStr">
        <is>
          <t>* = 1.25, min 0.5</t>
        </is>
      </c>
      <c r="D50" s="22" t="inlineStr">
        <is>
          <t>* = 0.75</t>
        </is>
      </c>
      <c r="E50" s="23" t="inlineStr">
        <is>
          <t>* = 0.5</t>
        </is>
      </c>
      <c r="F50" s="21" t="inlineStr">
        <is>
          <t>* = 1.5, min 1</t>
        </is>
      </c>
      <c r="G50" s="22" t="inlineStr">
        <is>
          <t>* = 0.75</t>
        </is>
      </c>
      <c r="H50" s="23" t="inlineStr">
        <is>
          <t>* = 0.5</t>
        </is>
      </c>
      <c r="I50" s="21" t="inlineStr">
        <is>
          <t>* = 2, min 1.5</t>
        </is>
      </c>
      <c r="J50" s="22" t="inlineStr">
        <is>
          <t>* = 0.75</t>
        </is>
      </c>
      <c r="K50" s="23" t="inlineStr">
        <is>
          <t>* = 0.5</t>
        </is>
      </c>
    </row>
    <row r="51" hidden="1" s="35">
      <c r="A51" s="24" t="inlineStr">
        <is>
          <t>eWOODY_FUEL_SOUND_WOOD_LOADINGS_ZERO_TO_THREE_INCHES_QUARTER_INCH_TO_ONE_INCH</t>
        </is>
      </c>
      <c r="B51" t="inlineStr">
        <is>
          <t>SWood_10hr</t>
        </is>
      </c>
      <c r="C51" s="21" t="inlineStr">
        <is>
          <t>* = 1.25, min 1</t>
        </is>
      </c>
      <c r="D51" s="22" t="inlineStr">
        <is>
          <t>* = 0.75</t>
        </is>
      </c>
      <c r="E51" s="23" t="inlineStr">
        <is>
          <t>* = 0.5</t>
        </is>
      </c>
      <c r="F51" s="21" t="inlineStr">
        <is>
          <t>* = 1.5, min 2</t>
        </is>
      </c>
      <c r="G51" s="22" t="inlineStr">
        <is>
          <t>* = 0.75</t>
        </is>
      </c>
      <c r="H51" s="23" t="inlineStr">
        <is>
          <t>* = 0.5</t>
        </is>
      </c>
      <c r="I51" s="21" t="inlineStr">
        <is>
          <t>* = 2, min 3</t>
        </is>
      </c>
      <c r="J51" s="22" t="inlineStr">
        <is>
          <t>* = 0.75</t>
        </is>
      </c>
      <c r="K51" s="23" t="inlineStr">
        <is>
          <t>* = 0.5</t>
        </is>
      </c>
    </row>
    <row r="52" hidden="1" s="35">
      <c r="A52" s="24" t="inlineStr">
        <is>
          <t>eWOODY_FUEL_SOUND_WOOD_LOADINGS_ZERO_TO_THREE_INCHES_ZERO_TO_QUARTER_INCH</t>
        </is>
      </c>
      <c r="B52" t="inlineStr">
        <is>
          <t>SWood_1hr</t>
        </is>
      </c>
      <c r="C52" s="21" t="inlineStr">
        <is>
          <t>* = 1.25, min 0.5</t>
        </is>
      </c>
      <c r="D52" s="22" t="inlineStr">
        <is>
          <t>* = 0.75</t>
        </is>
      </c>
      <c r="E52" s="23" t="inlineStr">
        <is>
          <t>* = 0.5</t>
        </is>
      </c>
      <c r="F52" s="21" t="inlineStr">
        <is>
          <t>* = 1.5, min 1</t>
        </is>
      </c>
      <c r="G52" s="22" t="inlineStr">
        <is>
          <t>* = 0.75</t>
        </is>
      </c>
      <c r="H52" s="23" t="inlineStr">
        <is>
          <t>* = 0.5</t>
        </is>
      </c>
      <c r="I52" s="21" t="inlineStr">
        <is>
          <t>* = 2, min 1.5</t>
        </is>
      </c>
      <c r="J52" s="22" t="inlineStr">
        <is>
          <t>* = 0.75</t>
        </is>
      </c>
      <c r="K52" s="23" t="inlineStr">
        <is>
          <t>* = 0.5</t>
        </is>
      </c>
    </row>
    <row r="53" hidden="1" s="35">
      <c r="A53" s="24" t="inlineStr">
        <is>
          <t>eWOODY_FUEL_SOUND_WOOD_LOADINGS_GREATER_THAN_THREE_INCHES_THREE_TO_NINE_INCHES</t>
        </is>
      </c>
      <c r="B53" t="inlineStr">
        <is>
          <t>SWood_1000hr</t>
        </is>
      </c>
      <c r="D53" s="22" t="inlineStr">
        <is>
          <t>* = 0.75</t>
        </is>
      </c>
      <c r="E53" s="23" t="n"/>
      <c r="G53" s="22" t="inlineStr">
        <is>
          <t>* = 0.75</t>
        </is>
      </c>
      <c r="J53" s="22" t="inlineStr">
        <is>
          <t>* = 0.75</t>
        </is>
      </c>
    </row>
    <row r="54" hidden="1" s="35">
      <c r="A54" s="24" t="inlineStr">
        <is>
          <t>eWOODY_FUEL_SOUND_WOOD_LOADINGS_GREATER_THAN_THREE_INCHES_NINE_TO_TWENTY_INCHES</t>
        </is>
      </c>
      <c r="B54" t="inlineStr">
        <is>
          <t>SWood_10_000hr</t>
        </is>
      </c>
      <c r="D54" s="22" t="inlineStr">
        <is>
          <t>* = 0.75</t>
        </is>
      </c>
      <c r="E54" s="23" t="n"/>
      <c r="G54" s="22" t="inlineStr">
        <is>
          <t>* = 0.75</t>
        </is>
      </c>
      <c r="J54" s="22" t="inlineStr">
        <is>
          <t>* = 0.75</t>
        </is>
      </c>
    </row>
    <row r="55" hidden="1" s="35">
      <c r="A55" s="24" t="inlineStr">
        <is>
          <t>eWOODY_FUEL_SOUND_WOOD_LOADINGS_GREATER_THAN_THREE_INCHES_GREATER_THAN_TWENTY_INCHES</t>
        </is>
      </c>
      <c r="B55" t="inlineStr">
        <is>
          <t>SWood_GT10_000hr</t>
        </is>
      </c>
      <c r="D55" s="22" t="inlineStr">
        <is>
          <t>* = 0.75</t>
        </is>
      </c>
      <c r="E55" s="23" t="n"/>
      <c r="G55" s="22" t="inlineStr">
        <is>
          <t>* = 0.75</t>
        </is>
      </c>
      <c r="J55" s="22" t="inlineStr">
        <is>
          <t>* = 0.75</t>
        </is>
      </c>
    </row>
    <row r="56" hidden="1" s="35">
      <c r="A56" s="24" t="inlineStr">
        <is>
          <t>eWOODY_FUEL_ROTTEN_WOOD_LOADINGS_GREATER_THAN_THREE_INCHES_THREE_TO_NINE_INCHES</t>
        </is>
      </c>
      <c r="B56" t="inlineStr">
        <is>
          <t>RWood_1000hr</t>
        </is>
      </c>
      <c r="D56" s="33" t="inlineStr">
        <is>
          <t>| + = SWood_1000hr * 0.25</t>
        </is>
      </c>
      <c r="E56" s="23" t="inlineStr">
        <is>
          <t>| + = SWood_1000hr * 0.5</t>
        </is>
      </c>
      <c r="G56" s="33" t="inlineStr">
        <is>
          <t>| + = SWood_1000hr * 0.25</t>
        </is>
      </c>
      <c r="H56" s="23" t="inlineStr">
        <is>
          <t>| + = SWood_1000hr * 0.5</t>
        </is>
      </c>
      <c r="J56" s="33" t="inlineStr">
        <is>
          <t>| + = SWood_1000hr * 0.25</t>
        </is>
      </c>
      <c r="K56" s="23" t="inlineStr">
        <is>
          <t>| + = SWood_1000hr * 0.5</t>
        </is>
      </c>
    </row>
    <row r="57" hidden="1" s="35">
      <c r="A57" s="24" t="inlineStr">
        <is>
          <t>eWOODY_FUEL_ROTTEN_WOOD_LOADINGS_GREATER_THAN_THREE_INCHES_NINE_TO_TWENTY_INCHES</t>
        </is>
      </c>
      <c r="B57" t="inlineStr">
        <is>
          <t>RWood_10_000hr</t>
        </is>
      </c>
      <c r="D57" s="33" t="inlineStr">
        <is>
          <t>| + = SWood_10_000hr * 0.25</t>
        </is>
      </c>
      <c r="E57" s="23" t="inlineStr">
        <is>
          <t>| + = SWood_10_000hr * 0.5</t>
        </is>
      </c>
      <c r="G57" s="33" t="inlineStr">
        <is>
          <t>| + = SWood_10_000hr * 0.25</t>
        </is>
      </c>
      <c r="H57" s="23" t="inlineStr">
        <is>
          <t>| + = SWood_10_000hr * 0.5</t>
        </is>
      </c>
      <c r="J57" s="33" t="inlineStr">
        <is>
          <t>| + = SWood_10_000hr * 0.25</t>
        </is>
      </c>
      <c r="K57" s="23" t="inlineStr">
        <is>
          <t>| + = SWood_10_000hr * 0.5</t>
        </is>
      </c>
    </row>
    <row r="58" hidden="1" s="35">
      <c r="A58" s="24" t="inlineStr">
        <is>
          <t>eWOODY_FUEL_ROTTEN_WOOD_LOADINGS_GREATER_THAN_THREE_INCHES_GREATER_THAN_TWENTY_INCHES</t>
        </is>
      </c>
      <c r="B58" t="inlineStr">
        <is>
          <t>RWood_GT10_000hr</t>
        </is>
      </c>
      <c r="D58" s="33" t="inlineStr">
        <is>
          <t>| + = SWood_GT10_000hr * 0.25</t>
        </is>
      </c>
      <c r="E58" s="23" t="inlineStr">
        <is>
          <t>| + = SWood_GT10_000hr * 0.5</t>
        </is>
      </c>
      <c r="G58" s="33" t="inlineStr">
        <is>
          <t>| + = SWood_GT10_000hr * 0.25</t>
        </is>
      </c>
      <c r="H58" s="23" t="inlineStr">
        <is>
          <t>| + = SWood_GT10_000hr * 0.5</t>
        </is>
      </c>
      <c r="J58" s="33" t="inlineStr">
        <is>
          <t>| + = SWood_GT10_000hr * 0.25</t>
        </is>
      </c>
      <c r="K58" s="23" t="inlineStr">
        <is>
          <t>| + = SWood_GT10_000hr * 0.5</t>
        </is>
      </c>
    </row>
    <row r="59">
      <c r="A59" s="24" t="inlineStr">
        <is>
          <t>eWOODY_FUEL_STUMPS_SOUND_DIAMETER</t>
        </is>
      </c>
      <c r="B59" t="inlineStr">
        <is>
          <t>SStump_Diameter</t>
        </is>
      </c>
      <c r="C59" t="inlineStr">
        <is>
          <t>| = (OTree_Diameter*OTree_Density + MTree_Diameter*MTree_Density) / (OTree_Density + MTree_Density)</t>
        </is>
      </c>
      <c r="E59" t="inlineStr">
        <is>
          <t>| = 0</t>
        </is>
      </c>
      <c r="F59" t="inlineStr">
        <is>
          <t>| = (OTree_Diameter*OTree_Density + MTree_Diameter*MTree_Density) / (OTree_Density + MTree_Density)</t>
        </is>
      </c>
      <c r="H59" t="inlineStr">
        <is>
          <t>| = 0</t>
        </is>
      </c>
      <c r="I59" t="inlineStr">
        <is>
          <t>| = (OTree_Diameter*OTree_Density + MTree_Diameter*MTree_Density) / (OTree_Density + MTree_Density)</t>
        </is>
      </c>
      <c r="K59" t="inlineStr">
        <is>
          <t>| = 0</t>
        </is>
      </c>
    </row>
    <row r="60">
      <c r="A60" s="24" t="inlineStr">
        <is>
          <t>eWOODY_FUEL_STUMPS_SOUND_HEIGHT</t>
        </is>
      </c>
      <c r="B60" t="inlineStr">
        <is>
          <t>SStump_Height</t>
        </is>
      </c>
      <c r="C60" t="inlineStr">
        <is>
          <t>| = 1.64 (0.5m constant)</t>
        </is>
      </c>
      <c r="E60" t="inlineStr">
        <is>
          <t>| = 0</t>
        </is>
      </c>
      <c r="F60" t="inlineStr">
        <is>
          <t>| = 1.64 (0.5m constant)</t>
        </is>
      </c>
      <c r="H60" t="inlineStr">
        <is>
          <t>| = 0</t>
        </is>
      </c>
      <c r="I60" t="inlineStr">
        <is>
          <t>| = 1.64 (0.5m constant)</t>
        </is>
      </c>
      <c r="K60" t="inlineStr">
        <is>
          <t>| = 0</t>
        </is>
      </c>
    </row>
    <row r="61">
      <c r="A61" s="24" t="inlineStr">
        <is>
          <t>eWOODY_FUEL_STUMPS_SOUND_STEM_DENSITY</t>
        </is>
      </c>
      <c r="B61" t="inlineStr">
        <is>
          <t>SStump_Density</t>
        </is>
      </c>
      <c r="C61" s="21" t="inlineStr">
        <is>
          <t>| + = 0.25*OTree_Density + 0.25*MTree_Density</t>
        </is>
      </c>
      <c r="E61" s="23" t="inlineStr">
        <is>
          <t>| = 0</t>
        </is>
      </c>
      <c r="F61" s="21" t="inlineStr">
        <is>
          <t>| + = 0.5*OTree_Density + 0.5*MTree_Density</t>
        </is>
      </c>
      <c r="H61" s="23" t="inlineStr">
        <is>
          <t>| = 0</t>
        </is>
      </c>
      <c r="I61" s="21" t="inlineStr">
        <is>
          <t>| + = 0.75*OTree_Density + 0.75*MTree_Density</t>
        </is>
      </c>
      <c r="K61" s="23" t="inlineStr">
        <is>
          <t>| = 0</t>
        </is>
      </c>
    </row>
    <row r="62">
      <c r="A62" s="24" t="inlineStr">
        <is>
          <t>eWOODY_FUEL_STUMPS_ROTTEN_DIAMETER</t>
        </is>
      </c>
      <c r="B62" t="inlineStr">
        <is>
          <t>RStump_Diameter</t>
        </is>
      </c>
      <c r="E62" s="23" t="inlineStr">
        <is>
          <t>| If not present, Sstump_Diameter</t>
        </is>
      </c>
      <c r="H62" s="23" t="inlineStr">
        <is>
          <t>| If not present, Sstump_Diameter</t>
        </is>
      </c>
      <c r="K62" s="23" t="inlineStr">
        <is>
          <t>| If not present, Sstump_Diameter</t>
        </is>
      </c>
    </row>
    <row r="63">
      <c r="A63" s="24" t="inlineStr">
        <is>
          <t>eWOODY_FUEL_STUMPS_ROTTEN_HEIGHT</t>
        </is>
      </c>
      <c r="B63" t="inlineStr">
        <is>
          <t>RStump_Height</t>
        </is>
      </c>
      <c r="E63" s="23" t="inlineStr">
        <is>
          <t>| If not present, Sstump_Height</t>
        </is>
      </c>
      <c r="H63" s="23" t="inlineStr">
        <is>
          <t>| If not present, Sstump_Height</t>
        </is>
      </c>
      <c r="K63" s="23" t="inlineStr">
        <is>
          <t>| If not present, Sstump_Height</t>
        </is>
      </c>
    </row>
    <row r="64">
      <c r="A64" s="24" t="inlineStr">
        <is>
          <t>eWOODY_FUEL_STUMPS_ROTTEN_STEM_DENSITY</t>
        </is>
      </c>
      <c r="B64" t="inlineStr">
        <is>
          <t>RStump_Density</t>
        </is>
      </c>
      <c r="E64" s="23" t="inlineStr">
        <is>
          <t>| + = SStump_Density</t>
        </is>
      </c>
      <c r="H64" s="23" t="inlineStr">
        <is>
          <t>| + = SStump_Density</t>
        </is>
      </c>
      <c r="K64" s="23" t="inlineStr">
        <is>
          <t>| + = SStump_Density</t>
        </is>
      </c>
    </row>
    <row r="65">
      <c r="A65" s="24" t="inlineStr">
        <is>
          <t>eWOODY_FUEL_STUMPS_LIGHTERED_PITCHY_DIAMETER</t>
        </is>
      </c>
      <c r="B65" t="inlineStr">
        <is>
          <t>LStump_Diameter</t>
        </is>
      </c>
      <c r="H65" s="23" t="n"/>
      <c r="K65" s="23" t="n"/>
    </row>
    <row r="66">
      <c r="A66" s="24" t="inlineStr">
        <is>
          <t>eWOODY_FUEL_STUMPS_LIGHTERED_PITCHY_HEIGHT</t>
        </is>
      </c>
      <c r="B66" t="inlineStr">
        <is>
          <t>LStump_Height</t>
        </is>
      </c>
      <c r="H66" s="23" t="n"/>
      <c r="K66" s="23" t="n"/>
    </row>
    <row r="67" ht="13.5" customHeight="1" s="35">
      <c r="A67" s="24" t="inlineStr">
        <is>
          <t>eWOODY_FUEL_STUMPS_LIGHTERED_PITCHY_STEM_DENSITY</t>
        </is>
      </c>
      <c r="B67" t="inlineStr">
        <is>
          <t>LStump_Density</t>
        </is>
      </c>
      <c r="E67" s="23" t="n"/>
      <c r="H67" s="23" t="n"/>
      <c r="K67" s="23" t="n"/>
    </row>
    <row r="68">
      <c r="A68" s="24" t="inlineStr">
        <is>
          <t>eWOODY_FUEL_PILES_CLEAN_LOADING</t>
        </is>
      </c>
      <c r="B68" t="inlineStr">
        <is>
          <t>CleanPile_Load</t>
        </is>
      </c>
    </row>
    <row r="69">
      <c r="A69" s="24" t="inlineStr">
        <is>
          <t>eWOODY_FUEL_PILES_DIRTY_LOADING</t>
        </is>
      </c>
      <c r="B69" t="inlineStr">
        <is>
          <t>DirtyPile_Load</t>
        </is>
      </c>
    </row>
    <row r="70">
      <c r="A70" s="24" t="inlineStr">
        <is>
          <t>eWOODY_FUEL_PILES_VERYDIRTY_LOADING</t>
        </is>
      </c>
      <c r="B70" t="inlineStr">
        <is>
          <t>VDirtyPile_Load</t>
        </is>
      </c>
    </row>
    <row r="71">
      <c r="A71" s="24" t="inlineStr">
        <is>
          <t>eLITTER_LITTER_TYPE_BROADLEAF_DECIDUOUS_RELATIVE_COVER</t>
        </is>
      </c>
      <c r="B71" t="inlineStr">
        <is>
          <t>BroadleafLitter_RelCover</t>
        </is>
      </c>
    </row>
    <row r="72">
      <c r="A72" s="24" t="inlineStr">
        <is>
          <t>eLITTER_LITTER_TYPE_BROADLEAF_EVERGREEN_RELATIVE_COVER</t>
        </is>
      </c>
      <c r="B72" t="inlineStr">
        <is>
          <t>EvergreenLitter_RelCover</t>
        </is>
      </c>
    </row>
    <row r="73">
      <c r="A73" s="24" t="inlineStr">
        <is>
          <t>eLITTER_LITTER_TYPE_GRASS_RELATIVE_COVER</t>
        </is>
      </c>
      <c r="B73" t="inlineStr">
        <is>
          <t>GrassLitter_RelCover</t>
        </is>
      </c>
    </row>
    <row r="74">
      <c r="A74" s="24" t="inlineStr">
        <is>
          <t>eLITTER_LITTER_TYPE_LONG_NEEDLE_PINE_RELATIVE_COVER</t>
        </is>
      </c>
      <c r="B74" t="inlineStr">
        <is>
          <t>LongNeedleLitter_RelCover</t>
        </is>
      </c>
    </row>
    <row r="75">
      <c r="A75" s="24" t="inlineStr">
        <is>
          <t>eLITTER_LITTER_TYPE_OTHER_CONIFER_RELATIVE_COVER</t>
        </is>
      </c>
      <c r="B75" t="inlineStr">
        <is>
          <t>OtherConiferLitter_RelCover</t>
        </is>
      </c>
    </row>
    <row r="76">
      <c r="A76" s="24" t="inlineStr">
        <is>
          <t>eLITTER_LITTER_TYPE_PALM_FROND_RELATIVE_COVER</t>
        </is>
      </c>
      <c r="B76" t="inlineStr">
        <is>
          <t>PalmLitter_RelCover</t>
        </is>
      </c>
    </row>
    <row r="77">
      <c r="A77" s="24" t="inlineStr">
        <is>
          <t>eLITTER_LITTER_TYPE_SHORT_NEEDLE_PINE_RELATIVE_COVER</t>
        </is>
      </c>
      <c r="B77" t="inlineStr">
        <is>
          <t>ShortNeedleLitter_RelCover</t>
        </is>
      </c>
    </row>
    <row r="78">
      <c r="A78" s="24" t="inlineStr">
        <is>
          <t>eMOSS_LICHEN_LITTER_GROUND_LICHEN_DEPTH</t>
        </is>
      </c>
      <c r="B78" t="inlineStr">
        <is>
          <t>Lichen_Depth</t>
        </is>
      </c>
      <c r="D78" s="22" t="n"/>
      <c r="J78" s="22" t="n"/>
    </row>
    <row r="79">
      <c r="A79" s="24" t="inlineStr">
        <is>
          <t>eMOSS_LICHEN_LITTER_GROUND_LICHEN_PERCENT_COVER</t>
        </is>
      </c>
      <c r="B79" t="inlineStr">
        <is>
          <t>Lichen_Cover</t>
        </is>
      </c>
      <c r="D79" s="22" t="n"/>
      <c r="J79" s="22" t="n"/>
    </row>
    <row r="80">
      <c r="A80" s="24" t="inlineStr">
        <is>
          <t>eMOSS_LICHEN_LITTER_LITTER_DEPTH</t>
        </is>
      </c>
      <c r="B80" t="inlineStr">
        <is>
          <t>Litter_Depth</t>
        </is>
      </c>
      <c r="C80" s="21" t="inlineStr">
        <is>
          <t>* = 1.25</t>
        </is>
      </c>
      <c r="D80" s="22" t="n"/>
      <c r="F80" s="21" t="inlineStr">
        <is>
          <t>* = 1.5</t>
        </is>
      </c>
      <c r="H80" s="23" t="n"/>
      <c r="I80" s="21" t="inlineStr">
        <is>
          <t>* = 1.75</t>
        </is>
      </c>
      <c r="J80" s="22" t="n"/>
      <c r="K80" s="23" t="n"/>
    </row>
    <row r="81">
      <c r="A81" s="24" t="inlineStr">
        <is>
          <t>eMOSS_LICHEN_LITTER_LITTER_PERCENT_COVER</t>
        </is>
      </c>
      <c r="B81" t="inlineStr">
        <is>
          <t>Litter_Cover</t>
        </is>
      </c>
      <c r="C81" s="21" t="inlineStr">
        <is>
          <t>* = 1.25</t>
        </is>
      </c>
      <c r="D81" s="22" t="n"/>
      <c r="F81" s="21" t="inlineStr">
        <is>
          <t>* = 1.5</t>
        </is>
      </c>
      <c r="H81" s="23" t="n"/>
      <c r="I81" s="21" t="inlineStr">
        <is>
          <t>* = 1.75</t>
        </is>
      </c>
      <c r="J81" s="22" t="n"/>
      <c r="K81" s="23" t="n"/>
    </row>
    <row r="82">
      <c r="A82" s="24" t="inlineStr">
        <is>
          <t>eMOSS_LICHEN_LITTER_MOSS_DEPTH</t>
        </is>
      </c>
      <c r="B82" t="inlineStr">
        <is>
          <t>Moss_Depth</t>
        </is>
      </c>
      <c r="D82" s="22" t="n"/>
      <c r="J82" s="22" t="n"/>
    </row>
    <row r="83">
      <c r="A83" s="24" t="inlineStr">
        <is>
          <t>eMOSS_LICHEN_LITTER_MOSS_PERCENT_COVER</t>
        </is>
      </c>
      <c r="B83" t="inlineStr">
        <is>
          <t>Moss_Cover</t>
        </is>
      </c>
      <c r="D83" s="22" t="n"/>
      <c r="J83" s="22" t="n"/>
    </row>
    <row r="84">
      <c r="A84" s="24" t="inlineStr">
        <is>
          <t>eGROUND_FUEL_DUFF_LOWER_DEPTH</t>
        </is>
      </c>
      <c r="B84" t="inlineStr">
        <is>
          <t>LowerDuff_Depth</t>
        </is>
      </c>
      <c r="D84" s="22" t="n"/>
    </row>
    <row r="85">
      <c r="A85" s="24" t="inlineStr">
        <is>
          <t>eGROUND_FUEL_DUFF_LOWER_PERCENT_COVER</t>
        </is>
      </c>
      <c r="B85" t="inlineStr">
        <is>
          <t>LowerDuff_Cover</t>
        </is>
      </c>
      <c r="D85" s="22" t="n"/>
    </row>
    <row r="86">
      <c r="A86" s="24" t="inlineStr">
        <is>
          <t>eGROUND_FUEL_DUFF_UPPER_DEPTH</t>
        </is>
      </c>
      <c r="B86" t="inlineStr">
        <is>
          <t>UpperDuff_Depth</t>
        </is>
      </c>
      <c r="D86" s="22" t="n"/>
      <c r="E86" s="23" t="n"/>
      <c r="H86" s="23" t="inlineStr">
        <is>
          <t>* = 1.2</t>
        </is>
      </c>
      <c r="K86" s="23" t="inlineStr">
        <is>
          <t>* = 1.4</t>
        </is>
      </c>
    </row>
    <row r="87">
      <c r="A87" s="24" t="inlineStr">
        <is>
          <t>eGROUND_FUEL_DUFF_UPPER_PERCENT_COVER</t>
        </is>
      </c>
      <c r="B87" t="inlineStr">
        <is>
          <t>UpperDuff_Cover</t>
        </is>
      </c>
      <c r="D87" s="22" t="n"/>
      <c r="H87" s="23" t="inlineStr">
        <is>
          <t>* = 1.2</t>
        </is>
      </c>
      <c r="K87" s="23" t="inlineStr">
        <is>
          <t>* = 1.4</t>
        </is>
      </c>
    </row>
    <row r="88">
      <c r="A88" s="24" t="inlineStr">
        <is>
          <t>eGROUND_FUEL_BASAL_ACCUMULATION_DEPTH</t>
        </is>
      </c>
      <c r="B88" t="inlineStr">
        <is>
          <t>BasalAccum_Depth</t>
        </is>
      </c>
      <c r="D88" s="22" t="n"/>
    </row>
    <row r="89">
      <c r="A89" s="24" t="inlineStr">
        <is>
          <t>eGROUND_FUEL_BASAL_ACCUMULATION_NUMBER_PER_UNIT_AREA</t>
        </is>
      </c>
      <c r="B89" t="inlineStr">
        <is>
          <t>BasalAccum_Density</t>
        </is>
      </c>
      <c r="D89" s="22" t="n"/>
    </row>
    <row r="90">
      <c r="A90" s="24" t="inlineStr">
        <is>
          <t>eGROUND_FUEL_BASAL_ACCUMULATION_RADIUS</t>
        </is>
      </c>
      <c r="B90" t="inlineStr">
        <is>
          <t>BasalAccum_Radius</t>
        </is>
      </c>
      <c r="D90" s="22" t="n"/>
    </row>
    <row r="91">
      <c r="A91" s="24" t="inlineStr">
        <is>
          <t>eGROUND_FUEL_SQUIRREL_MIDDENS_DEPTH</t>
        </is>
      </c>
      <c r="B91" t="inlineStr">
        <is>
          <t>SquirrelMid_Depth</t>
        </is>
      </c>
      <c r="D91" s="22" t="n"/>
    </row>
    <row r="92">
      <c r="A92" s="24" t="inlineStr">
        <is>
          <t>eGROUND_FUEL_SQUIRREL_MIDDENS_NUMBER_PER_UNIT_AREA</t>
        </is>
      </c>
      <c r="B92" t="inlineStr">
        <is>
          <t>SquirrelMid_Density</t>
        </is>
      </c>
      <c r="D92" s="22" t="n"/>
    </row>
    <row r="93">
      <c r="A93" s="24" t="inlineStr">
        <is>
          <t>eGROUND_FUEL_SQUIRREL_MIDDENS_RADIUS</t>
        </is>
      </c>
      <c r="B93" t="inlineStr">
        <is>
          <t>SquirrelMid_Radius</t>
        </is>
      </c>
      <c r="D93" s="22" t="n"/>
    </row>
    <row r="94" s="35"/>
    <row r="95" s="35"/>
    <row r="96" s="35"/>
    <row r="97" s="35"/>
    <row r="98" s="35"/>
    <row r="99" s="35"/>
    <row r="100" s="35"/>
    <row r="101" s="35"/>
    <row r="102" s="35"/>
    <row r="103" s="35"/>
    <row r="104" s="35"/>
    <row r="105" s="35"/>
    <row r="106" s="35"/>
    <row r="107" s="35"/>
    <row r="108" s="35"/>
    <row r="109" s="35"/>
    <row r="110" s="35"/>
    <row r="111" s="35"/>
    <row r="112" s="35"/>
    <row r="113" s="35"/>
    <row r="114" s="35"/>
    <row r="115" s="35"/>
    <row r="116" s="35"/>
    <row r="117" s="35"/>
    <row r="118" s="35"/>
    <row r="119" s="35"/>
    <row r="120" s="35"/>
    <row r="121" s="35"/>
    <row r="122" s="35"/>
    <row r="123" s="35"/>
    <row r="124" s="35"/>
    <row r="125" s="35"/>
    <row r="126" s="35"/>
    <row r="127" s="35"/>
    <row r="128" s="35"/>
    <row r="129" s="35"/>
    <row r="130" s="35"/>
    <row r="131" s="35"/>
    <row r="132" s="35"/>
    <row r="133" s="35"/>
    <row r="134" s="35"/>
    <row r="135" s="35"/>
    <row r="136" s="35"/>
    <row r="137" s="35"/>
    <row r="138" s="35"/>
    <row r="139" s="35"/>
    <row r="140" s="35"/>
    <row r="141" s="35"/>
    <row r="142" s="35"/>
    <row r="143" s="35"/>
    <row r="144" s="35"/>
    <row r="145" s="35"/>
    <row r="146" s="35"/>
    <row r="147" s="35"/>
    <row r="148" s="35"/>
    <row r="149" s="35"/>
    <row r="150" s="35"/>
    <row r="151" s="35"/>
    <row r="152" s="35"/>
    <row r="153" s="35"/>
    <row r="154" s="35"/>
    <row r="155" s="35"/>
    <row r="156" s="35"/>
    <row r="157" s="35"/>
    <row r="158" s="35"/>
    <row r="159" s="35"/>
    <row r="160" s="35"/>
    <row r="161" s="35"/>
    <row r="162" s="35"/>
    <row r="163" s="35"/>
    <row r="164" s="35"/>
    <row r="165" s="35"/>
    <row r="166" s="35"/>
    <row r="167" s="35"/>
    <row r="168" s="35"/>
    <row r="169" s="35"/>
    <row r="170" s="35"/>
    <row r="171" s="35"/>
    <row r="172" s="35"/>
    <row r="173" s="35"/>
    <row r="174" s="35"/>
    <row r="175" s="35"/>
    <row r="176" s="35"/>
    <row r="177" s="35"/>
    <row r="178" s="35"/>
    <row r="179" s="35"/>
    <row r="180" s="35"/>
    <row r="181" s="35"/>
    <row r="182" s="35"/>
    <row r="183" s="35"/>
    <row r="184" s="35"/>
    <row r="185" s="35"/>
    <row r="186" s="35"/>
    <row r="187" s="35"/>
    <row r="188" s="35"/>
    <row r="189" s="35"/>
    <row r="190" s="35"/>
    <row r="191" s="35"/>
    <row r="192" s="35"/>
    <row r="193" s="35"/>
    <row r="194" s="35"/>
    <row r="195" s="35"/>
    <row r="196" s="35"/>
    <row r="197" s="35"/>
    <row r="198" s="35"/>
    <row r="199" s="35"/>
    <row r="200" s="35"/>
    <row r="201" s="35"/>
    <row r="202" s="35"/>
    <row r="203" s="35"/>
    <row r="204" s="35"/>
    <row r="205" s="35"/>
    <row r="206" s="35"/>
    <row r="207" s="35"/>
    <row r="208" s="35"/>
    <row r="209" s="35"/>
    <row r="210" s="35"/>
    <row r="211" s="35"/>
    <row r="212" s="35"/>
    <row r="213" s="35"/>
    <row r="214" s="35"/>
    <row r="215" s="35"/>
    <row r="216" s="35"/>
    <row r="217" s="35"/>
    <row r="218" s="35"/>
    <row r="219" s="35"/>
    <row r="220" s="35"/>
    <row r="221" s="35"/>
    <row r="222" s="35"/>
    <row r="223" s="35"/>
    <row r="224" s="35"/>
    <row r="225" s="35"/>
    <row r="226" s="35"/>
    <row r="227" s="35"/>
    <row r="228" s="35"/>
    <row r="229" s="35"/>
    <row r="230" s="35"/>
    <row r="231" s="35"/>
    <row r="232" s="35"/>
    <row r="233" s="35"/>
    <row r="234" s="35"/>
    <row r="235" s="35"/>
    <row r="236" s="35"/>
    <row r="237" s="35"/>
    <row r="238" s="35"/>
    <row r="239" s="35"/>
    <row r="240" s="35"/>
    <row r="241" s="35"/>
    <row r="242" s="35"/>
    <row r="243" s="35"/>
    <row r="244" s="35"/>
    <row r="245" s="35"/>
    <row r="246" s="35"/>
    <row r="247" s="35"/>
    <row r="248" s="35"/>
    <row r="249" s="35"/>
    <row r="250" s="35"/>
    <row r="251" s="35"/>
    <row r="252" s="35"/>
    <row r="253" s="35"/>
    <row r="254" s="35"/>
    <row r="255" s="35"/>
    <row r="256" s="35"/>
    <row r="257" s="35"/>
    <row r="258" s="35"/>
    <row r="259" s="35"/>
    <row r="260" s="35"/>
    <row r="261" s="35"/>
    <row r="262" s="35"/>
    <row r="263" s="35"/>
    <row r="264" s="35"/>
    <row r="265" s="35"/>
    <row r="266" s="35"/>
    <row r="267" s="35"/>
    <row r="268" s="35"/>
    <row r="269" s="35"/>
    <row r="270" s="35"/>
    <row r="271" s="35"/>
    <row r="272" s="35"/>
    <row r="273" s="35"/>
    <row r="274" s="35"/>
    <row r="275" s="35"/>
    <row r="276" s="35"/>
    <row r="277" s="35"/>
    <row r="278" s="35"/>
    <row r="279" s="35"/>
    <row r="280" s="35"/>
    <row r="281" s="35"/>
    <row r="282" s="35"/>
    <row r="283" s="35"/>
    <row r="284" s="35"/>
    <row r="285" s="35"/>
    <row r="286" s="35"/>
    <row r="287" s="35"/>
    <row r="288" s="35"/>
    <row r="289" s="35"/>
    <row r="290" s="35"/>
    <row r="291" s="35"/>
    <row r="292" s="35"/>
    <row r="293" s="35"/>
    <row r="294" s="35"/>
    <row r="295" s="35"/>
    <row r="296" s="35"/>
    <row r="297" s="35"/>
    <row r="298" s="35"/>
    <row r="299" s="35"/>
    <row r="300" s="35"/>
    <row r="301" s="35"/>
    <row r="302" s="35"/>
    <row r="303" s="35"/>
    <row r="304" s="35"/>
    <row r="305" s="35"/>
    <row r="306" s="35"/>
    <row r="307" s="35"/>
    <row r="308" s="35"/>
    <row r="309" s="35"/>
    <row r="310" s="35"/>
    <row r="311" s="35"/>
    <row r="312" s="35"/>
    <row r="313" s="35"/>
    <row r="314" s="35"/>
    <row r="315" s="35"/>
    <row r="316" s="35"/>
    <row r="317" s="35"/>
    <row r="318" s="35"/>
    <row r="319" s="35"/>
    <row r="320" s="35"/>
    <row r="321" s="35"/>
    <row r="322" s="35"/>
    <row r="323" s="35"/>
    <row r="324" s="35"/>
    <row r="325" s="35"/>
    <row r="326" s="35"/>
    <row r="327" s="35"/>
    <row r="328" s="35"/>
    <row r="329" s="35"/>
    <row r="330" s="35"/>
    <row r="331" s="35"/>
    <row r="332" s="35"/>
    <row r="333" s="35"/>
    <row r="334" s="35"/>
    <row r="335" s="35"/>
    <row r="336" s="35"/>
    <row r="337" s="35"/>
    <row r="338" s="35"/>
    <row r="339" s="35"/>
    <row r="340" s="35"/>
    <row r="341" s="35"/>
    <row r="342" s="35"/>
    <row r="343" s="35"/>
    <row r="344" s="35"/>
    <row r="345" s="35"/>
    <row r="346" s="35"/>
    <row r="347" s="35"/>
    <row r="348" s="35"/>
    <row r="349" s="35"/>
    <row r="350" s="35"/>
    <row r="351" s="35"/>
    <row r="352" s="35"/>
    <row r="353" s="35"/>
    <row r="354" s="35"/>
    <row r="355" s="35"/>
    <row r="356" s="35"/>
    <row r="357" s="35"/>
    <row r="358" s="35"/>
    <row r="359" s="35"/>
    <row r="360" s="35"/>
    <row r="361" s="35"/>
    <row r="362" s="35"/>
    <row r="363" s="35"/>
    <row r="364" s="35"/>
    <row r="365" s="35"/>
    <row r="366" s="35"/>
    <row r="367" s="35"/>
    <row r="368" s="35"/>
    <row r="369" s="35"/>
    <row r="370" s="35"/>
    <row r="371" s="35"/>
    <row r="372" s="35"/>
    <row r="373" s="35"/>
    <row r="374" s="35"/>
    <row r="375" s="35"/>
    <row r="376" s="35"/>
    <row r="377" s="35"/>
    <row r="378" s="35"/>
    <row r="379" s="35"/>
    <row r="380" s="35"/>
    <row r="381" s="35"/>
    <row r="382" s="35"/>
    <row r="383" s="35"/>
    <row r="384" s="35"/>
    <row r="385" s="35"/>
    <row r="386" s="35"/>
    <row r="387" s="35"/>
    <row r="388" s="35"/>
    <row r="389" s="35"/>
    <row r="390" s="35"/>
    <row r="391" s="35"/>
    <row r="392" s="35"/>
    <row r="393" s="35"/>
    <row r="394" s="35"/>
    <row r="395" s="35"/>
    <row r="396" s="35"/>
    <row r="397" s="35"/>
    <row r="398" s="35"/>
    <row r="399" s="35"/>
    <row r="400" s="35"/>
    <row r="401" s="35"/>
    <row r="402" s="35"/>
    <row r="403" s="35"/>
    <row r="404" s="35"/>
    <row r="405" s="35"/>
    <row r="406" s="35"/>
    <row r="407" s="35"/>
    <row r="408" s="35"/>
    <row r="409" s="35"/>
    <row r="410" s="35"/>
    <row r="411" s="35"/>
    <row r="412" s="35"/>
    <row r="413" s="35"/>
    <row r="414" s="35"/>
    <row r="415" s="35"/>
    <row r="416" s="35"/>
    <row r="417" s="35"/>
    <row r="418" s="35"/>
    <row r="419" s="35"/>
    <row r="420" s="35"/>
    <row r="421" s="35"/>
    <row r="422" s="35"/>
    <row r="423" s="35"/>
    <row r="424" s="35"/>
    <row r="425" s="35"/>
    <row r="426" s="35"/>
    <row r="427" s="35"/>
    <row r="428" s="35"/>
    <row r="429" s="35"/>
    <row r="430" s="35"/>
    <row r="431" s="35"/>
    <row r="432" s="35"/>
    <row r="433" s="35"/>
    <row r="434" s="35"/>
    <row r="435" s="35"/>
    <row r="436" s="35"/>
    <row r="437" s="35"/>
    <row r="438" s="35"/>
    <row r="439" s="35"/>
    <row r="440" s="35"/>
    <row r="441" s="35"/>
    <row r="442" s="35"/>
    <row r="443" s="35"/>
    <row r="444" s="35"/>
    <row r="445" s="35"/>
    <row r="446" s="35"/>
    <row r="447" s="35"/>
    <row r="448" s="35"/>
    <row r="449" s="35"/>
    <row r="450" s="35"/>
    <row r="451" s="35"/>
    <row r="452" s="35"/>
    <row r="453" s="35"/>
    <row r="454" s="35"/>
    <row r="455" s="35"/>
    <row r="456" s="35"/>
    <row r="457" s="35"/>
    <row r="458" s="35"/>
    <row r="459" s="35"/>
    <row r="460" s="35"/>
    <row r="461" s="35"/>
    <row r="462" s="35"/>
    <row r="463" s="35"/>
    <row r="464" s="35"/>
    <row r="465" s="35"/>
    <row r="466" s="35"/>
    <row r="467" s="35"/>
    <row r="468" s="35"/>
    <row r="469" s="35"/>
    <row r="470" s="35"/>
    <row r="471" s="35"/>
    <row r="472" s="35"/>
    <row r="473" s="35"/>
    <row r="474" s="35"/>
    <row r="475" s="35"/>
    <row r="476" s="35"/>
    <row r="477" s="35"/>
    <row r="478" s="35"/>
    <row r="479" s="35"/>
    <row r="480" s="35"/>
    <row r="481" s="35"/>
    <row r="482" s="35"/>
    <row r="483" s="35"/>
    <row r="484" s="35"/>
    <row r="485" s="35"/>
    <row r="486" s="35"/>
    <row r="487" s="35"/>
    <row r="488" s="35"/>
    <row r="489" s="35"/>
    <row r="490" s="35"/>
    <row r="491" s="35"/>
    <row r="492" s="35"/>
    <row r="493" s="35"/>
    <row r="494" s="35"/>
    <row r="495" s="35"/>
    <row r="496" s="35"/>
    <row r="497" s="35"/>
    <row r="498" s="35"/>
    <row r="499" s="35"/>
    <row r="500" s="35"/>
    <row r="501" s="35"/>
    <row r="502" s="35"/>
    <row r="503" s="35"/>
    <row r="504" s="35"/>
    <row r="505" s="35"/>
    <row r="506" s="35"/>
    <row r="507" s="35"/>
    <row r="508" s="35"/>
    <row r="509" s="35"/>
    <row r="510" s="35"/>
    <row r="511" s="35"/>
    <row r="512" s="35"/>
    <row r="513" s="35"/>
    <row r="514" s="35"/>
    <row r="515" s="35"/>
    <row r="516" s="35"/>
    <row r="517" s="35"/>
    <row r="518" s="35"/>
    <row r="519" s="35"/>
    <row r="520" s="35"/>
    <row r="521" s="35"/>
    <row r="522" s="35"/>
    <row r="523" s="35"/>
    <row r="524" s="35"/>
    <row r="525" s="35"/>
    <row r="526" s="35"/>
    <row r="527" s="35"/>
    <row r="528" s="35"/>
    <row r="529" s="35"/>
    <row r="530" s="35"/>
    <row r="531" s="35"/>
    <row r="532" s="35"/>
    <row r="533" s="35"/>
    <row r="534" s="35"/>
    <row r="535" s="35"/>
    <row r="536" s="35"/>
    <row r="537" s="35"/>
    <row r="538" s="35"/>
    <row r="539" s="35"/>
    <row r="540" s="35"/>
    <row r="541" s="35"/>
    <row r="542" s="35"/>
    <row r="543" s="35"/>
    <row r="544" s="35"/>
    <row r="545" s="35"/>
    <row r="546" s="35"/>
    <row r="547" s="35"/>
    <row r="548" s="35"/>
    <row r="549" s="35"/>
    <row r="550" s="35"/>
    <row r="551" s="35"/>
    <row r="552" s="35"/>
    <row r="553" s="35"/>
    <row r="554" s="35"/>
    <row r="555" s="35"/>
    <row r="556" s="35"/>
    <row r="557" s="35"/>
    <row r="558" s="35"/>
    <row r="559" s="35"/>
    <row r="560" s="35"/>
    <row r="561" s="35"/>
    <row r="562" s="35"/>
    <row r="563" s="35"/>
    <row r="564" s="35"/>
    <row r="565" s="35"/>
    <row r="566" s="35"/>
    <row r="567" s="35"/>
    <row r="568" s="35"/>
    <row r="569" s="35"/>
    <row r="570" s="35"/>
    <row r="571" s="35"/>
    <row r="572" s="35"/>
    <row r="573" s="35"/>
    <row r="574" s="35"/>
    <row r="575" s="35"/>
    <row r="576" s="35"/>
    <row r="577" s="35"/>
    <row r="578" s="35"/>
    <row r="579" s="35"/>
    <row r="580" s="35"/>
    <row r="581" s="35"/>
    <row r="582" s="35"/>
    <row r="583" s="35"/>
    <row r="584" s="35"/>
    <row r="585" s="35"/>
    <row r="586" s="35"/>
    <row r="587" s="35"/>
    <row r="588" s="35"/>
    <row r="589" s="35"/>
    <row r="590" s="35"/>
    <row r="591" s="35"/>
    <row r="592" s="35"/>
    <row r="593" s="35"/>
    <row r="594" s="35"/>
    <row r="595" s="35"/>
    <row r="596" s="35"/>
    <row r="597" s="35"/>
    <row r="598" s="35"/>
    <row r="599" s="35"/>
    <row r="600" s="35"/>
    <row r="601" s="35"/>
    <row r="602" s="35"/>
    <row r="603" s="35"/>
    <row r="604" s="35"/>
    <row r="605" s="35"/>
    <row r="606" s="35"/>
    <row r="607" s="35"/>
    <row r="608" s="35"/>
    <row r="609" s="35"/>
    <row r="610" s="35"/>
    <row r="611" s="35"/>
    <row r="612" s="35"/>
    <row r="613" s="35"/>
    <row r="614" s="35"/>
    <row r="615" s="35"/>
    <row r="616" s="35"/>
    <row r="617" s="35"/>
    <row r="618" s="35"/>
    <row r="619" s="35"/>
    <row r="620" s="35"/>
    <row r="621" s="35"/>
    <row r="622" s="35"/>
    <row r="623" s="35"/>
    <row r="624" s="35"/>
    <row r="625" s="35"/>
    <row r="626" s="35"/>
    <row r="627" s="35"/>
    <row r="628" s="35"/>
    <row r="629" s="35"/>
    <row r="630" s="35"/>
    <row r="631" s="35"/>
    <row r="632" s="35"/>
    <row r="633" s="35"/>
    <row r="634" s="35"/>
    <row r="635" s="35"/>
    <row r="636" s="35"/>
    <row r="637" s="35"/>
    <row r="638" s="35"/>
    <row r="639" s="35"/>
    <row r="640" s="35"/>
    <row r="641" s="35"/>
    <row r="642" s="35"/>
    <row r="643" s="35"/>
    <row r="644" s="35"/>
    <row r="645" s="35"/>
    <row r="646" s="35"/>
    <row r="647" s="35"/>
    <row r="648" s="35"/>
    <row r="649" s="35"/>
    <row r="650" s="35"/>
    <row r="651" s="35"/>
    <row r="652" s="35"/>
    <row r="653" s="35"/>
    <row r="654" s="35"/>
    <row r="655" s="35"/>
    <row r="656" s="35"/>
    <row r="657" s="35"/>
    <row r="658" s="35"/>
    <row r="659" s="35"/>
    <row r="660" s="35"/>
    <row r="661" s="35"/>
    <row r="662" s="35"/>
    <row r="663" s="35"/>
    <row r="664" s="35"/>
    <row r="665" s="35"/>
    <row r="666" s="35"/>
    <row r="667" s="35"/>
    <row r="668" s="35"/>
    <row r="669" s="35"/>
    <row r="670" s="35"/>
    <row r="671" s="35"/>
    <row r="672" s="35"/>
    <row r="673" s="35"/>
    <row r="674" s="35"/>
    <row r="675" s="35"/>
    <row r="676" s="35"/>
    <row r="677" s="35"/>
    <row r="678" s="35"/>
    <row r="679" s="35"/>
    <row r="680" s="35"/>
    <row r="681" s="35"/>
    <row r="682" s="35"/>
    <row r="683" s="35"/>
    <row r="684" s="35"/>
    <row r="685" s="35"/>
    <row r="686" s="35"/>
    <row r="687" s="35"/>
    <row r="688" s="35"/>
    <row r="689" s="35"/>
    <row r="690" s="35"/>
    <row r="691" s="35"/>
    <row r="692" s="35"/>
    <row r="693" s="35"/>
    <row r="694" s="35"/>
    <row r="695" s="35"/>
    <row r="696" s="35"/>
    <row r="697" s="35"/>
    <row r="698" s="35"/>
    <row r="699" s="35"/>
    <row r="700" s="35"/>
    <row r="701" s="35"/>
    <row r="702" s="35"/>
    <row r="703" s="35"/>
    <row r="704" s="35"/>
    <row r="705" s="35"/>
    <row r="706" s="35"/>
    <row r="707" s="35"/>
    <row r="708" s="35"/>
    <row r="709" s="35"/>
    <row r="710" s="35"/>
    <row r="711" s="35"/>
    <row r="712" s="35"/>
    <row r="713" s="35"/>
    <row r="714" s="35"/>
    <row r="715" s="35"/>
    <row r="716" s="35"/>
    <row r="717" s="35"/>
    <row r="718" s="35"/>
    <row r="719" s="35"/>
    <row r="720" s="35"/>
    <row r="721" s="35"/>
    <row r="722" s="35"/>
    <row r="723" s="35"/>
    <row r="724" s="35"/>
    <row r="725" s="35"/>
    <row r="726" s="35"/>
    <row r="727" s="35"/>
    <row r="728" s="35"/>
    <row r="729" s="35"/>
    <row r="730" s="35"/>
    <row r="731" s="35"/>
    <row r="732" s="35"/>
    <row r="733" s="35"/>
    <row r="734" s="35"/>
    <row r="735" s="35"/>
    <row r="736" s="35"/>
    <row r="737" s="35"/>
    <row r="738" s="35"/>
    <row r="739" s="35"/>
    <row r="740" s="35"/>
    <row r="741" s="35"/>
    <row r="742" s="35"/>
    <row r="743" s="35"/>
    <row r="744" s="35"/>
    <row r="745" s="35"/>
    <row r="746" s="35"/>
    <row r="747" s="35"/>
    <row r="748" s="35"/>
    <row r="749" s="35"/>
    <row r="750" s="35"/>
    <row r="751" s="35"/>
    <row r="752" s="35"/>
    <row r="753" s="35"/>
    <row r="754" s="35"/>
    <row r="755" s="35"/>
    <row r="756" s="35"/>
    <row r="757" s="35"/>
    <row r="758" s="35"/>
    <row r="759" s="35"/>
    <row r="760" s="35"/>
    <row r="761" s="35"/>
    <row r="762" s="35"/>
    <row r="763" s="35"/>
    <row r="764" s="35"/>
    <row r="765" s="35"/>
    <row r="766" s="35"/>
    <row r="767" s="35"/>
    <row r="768" s="35"/>
    <row r="769" s="35"/>
    <row r="770" s="35"/>
    <row r="771" s="35"/>
    <row r="772" s="35"/>
    <row r="773" s="35"/>
    <row r="774" s="35"/>
    <row r="775" s="35"/>
    <row r="776" s="35"/>
    <row r="777" s="35"/>
    <row r="778" s="35"/>
    <row r="779" s="35"/>
    <row r="780" s="35"/>
    <row r="781" s="35"/>
    <row r="782" s="35"/>
    <row r="783" s="35"/>
    <row r="784" s="35"/>
    <row r="785" s="35"/>
    <row r="786" s="35"/>
    <row r="787" s="35"/>
    <row r="788" s="35"/>
    <row r="789" s="35"/>
    <row r="790" s="35"/>
    <row r="791" s="35"/>
    <row r="792" s="35"/>
    <row r="793" s="35"/>
    <row r="794" s="35"/>
    <row r="795" s="35"/>
    <row r="796" s="35"/>
    <row r="797" s="35"/>
    <row r="798" s="35"/>
    <row r="799" s="35"/>
    <row r="800" s="35"/>
    <row r="801" s="35"/>
    <row r="802" s="35"/>
    <row r="803" s="35"/>
    <row r="804" s="35"/>
    <row r="805" s="35"/>
    <row r="806" s="35"/>
    <row r="807" s="35"/>
    <row r="808" s="35"/>
    <row r="809" s="35"/>
    <row r="810" s="35"/>
    <row r="811" s="35"/>
    <row r="812" s="35"/>
    <row r="813" s="35"/>
    <row r="814" s="35"/>
    <row r="815" s="35"/>
    <row r="816" s="35"/>
    <row r="817" s="35"/>
    <row r="818" s="35"/>
    <row r="819" s="35"/>
    <row r="820" s="35"/>
    <row r="821" s="35"/>
    <row r="822" s="35"/>
    <row r="823" s="35"/>
    <row r="824" s="35"/>
    <row r="825" s="35"/>
    <row r="826" s="35"/>
    <row r="827" s="35"/>
    <row r="828" s="35"/>
    <row r="829" s="35"/>
    <row r="830" s="35"/>
    <row r="831" s="35"/>
    <row r="832" s="35"/>
    <row r="833" s="35"/>
    <row r="834" s="35"/>
    <row r="835" s="35"/>
    <row r="836" s="35"/>
    <row r="837" s="35"/>
    <row r="838" s="35"/>
    <row r="839" s="35"/>
    <row r="840" s="35"/>
    <row r="841" s="35"/>
    <row r="842" s="35"/>
    <row r="843" s="35"/>
    <row r="844" s="35"/>
    <row r="845" s="35"/>
    <row r="846" s="35"/>
    <row r="847" s="35"/>
    <row r="848" s="35"/>
    <row r="849" s="35"/>
    <row r="850" s="35"/>
    <row r="851" s="35"/>
    <row r="852" s="35"/>
    <row r="853" s="35"/>
    <row r="854" s="35"/>
    <row r="855" s="35"/>
    <row r="856" s="35"/>
    <row r="857" s="35"/>
    <row r="858" s="35"/>
    <row r="859" s="35"/>
    <row r="860" s="35"/>
    <row r="861" s="35"/>
    <row r="862" s="35"/>
    <row r="863" s="35"/>
    <row r="864" s="35"/>
    <row r="865" s="35"/>
    <row r="866" s="35"/>
    <row r="867" s="35"/>
    <row r="868" s="35"/>
    <row r="869" s="35"/>
    <row r="870" s="35"/>
    <row r="871" s="35"/>
    <row r="872" s="35"/>
    <row r="873" s="35"/>
    <row r="874" s="35"/>
    <row r="875" s="35"/>
    <row r="876" s="35"/>
    <row r="877" s="35"/>
    <row r="878" s="35"/>
    <row r="879" s="35"/>
    <row r="880" s="35"/>
    <row r="881" s="35"/>
    <row r="882" s="35"/>
    <row r="883" s="35"/>
    <row r="884" s="35"/>
    <row r="885" s="35"/>
    <row r="886" s="35"/>
    <row r="887" s="35"/>
    <row r="888" s="35"/>
    <row r="889" s="35"/>
    <row r="890" s="35"/>
    <row r="891" s="35"/>
    <row r="892" s="35"/>
    <row r="893" s="35"/>
    <row r="894" s="35"/>
    <row r="895" s="35"/>
    <row r="896" s="35"/>
    <row r="897" s="35"/>
    <row r="898" s="35"/>
    <row r="899" s="35"/>
    <row r="900" s="35"/>
    <row r="901" s="35"/>
    <row r="902" s="35"/>
    <row r="903" s="35"/>
    <row r="904" s="35"/>
    <row r="905" s="35"/>
    <row r="906" s="35"/>
    <row r="907" s="35"/>
    <row r="908" s="35"/>
    <row r="909" s="35"/>
    <row r="910" s="35"/>
    <row r="911" s="35"/>
    <row r="912" s="35"/>
    <row r="913" s="35"/>
    <row r="914" s="35"/>
    <row r="915" s="35"/>
    <row r="916" s="35"/>
    <row r="917" s="35"/>
    <row r="918" s="35"/>
    <row r="919" s="35"/>
    <row r="920" s="35"/>
    <row r="921" s="35"/>
    <row r="922" s="35"/>
    <row r="923" s="35"/>
    <row r="924" s="35"/>
    <row r="925" s="35"/>
    <row r="926" s="35"/>
    <row r="927" s="35"/>
    <row r="928" s="35"/>
    <row r="929" s="35"/>
    <row r="930" s="35"/>
    <row r="931" s="35"/>
    <row r="932" s="35"/>
    <row r="933" s="35"/>
    <row r="934" s="35"/>
    <row r="935" s="35"/>
    <row r="936" s="35"/>
    <row r="937" s="35"/>
    <row r="938" s="35"/>
    <row r="939" s="35"/>
    <row r="940" s="35"/>
    <row r="941" s="35"/>
    <row r="942" s="35"/>
    <row r="943" s="35"/>
    <row r="944" s="35"/>
    <row r="945" s="35"/>
    <row r="946" s="35"/>
    <row r="947" s="35"/>
    <row r="948" s="35"/>
    <row r="949" s="35"/>
    <row r="950" s="35"/>
    <row r="951" s="35"/>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P102"/>
  <sheetViews>
    <sheetView workbookViewId="0">
      <selection activeCell="A1" sqref="A1"/>
    </sheetView>
  </sheetViews>
  <sheetFormatPr baseColWidth="8" defaultRowHeight="15"/>
  <cols>
    <col width="102.42578125" bestFit="1" customWidth="1" style="7" min="1" max="1"/>
    <col width="9.140625" customWidth="1" style="35" min="2" max="6"/>
    <col width="9.140625" customWidth="1" style="35" min="9" max="13"/>
  </cols>
  <sheetData>
    <row r="1">
      <c r="A1" s="14" t="inlineStr">
        <is>
          <t>Variable</t>
        </is>
      </c>
      <c r="B1" t="inlineStr">
        <is>
          <t>FB_0029_FCCS</t>
        </is>
      </c>
      <c r="C1" t="inlineStr">
        <is>
          <t>FB_0046_FCCS</t>
        </is>
      </c>
      <c r="D1" t="inlineStr">
        <is>
          <t>FB_0066_FCCS</t>
        </is>
      </c>
      <c r="E1" t="inlineStr">
        <is>
          <t>FB_0087_FCCS</t>
        </is>
      </c>
      <c r="F1" t="inlineStr">
        <is>
          <t>FB_0109_FCCS</t>
        </is>
      </c>
      <c r="G1" t="inlineStr">
        <is>
          <t>FB_0291_FCCS</t>
        </is>
      </c>
      <c r="I1" t="inlineStr">
        <is>
          <t>FB_0067_FCCS</t>
        </is>
      </c>
      <c r="J1" t="inlineStr">
        <is>
          <t>FB_0069_FCCS</t>
        </is>
      </c>
      <c r="K1" t="inlineStr">
        <is>
          <t>FB_0071_FCCS</t>
        </is>
      </c>
      <c r="L1" t="inlineStr">
        <is>
          <t>FB_0077_FCCS</t>
        </is>
      </c>
      <c r="M1" t="inlineStr">
        <is>
          <t>FB_0125_FCCS</t>
        </is>
      </c>
      <c r="N1" t="inlineStr">
        <is>
          <t>FB_0165_FCCS</t>
        </is>
      </c>
      <c r="O1" t="inlineStr">
        <is>
          <t>FB_0170_FCCS</t>
        </is>
      </c>
      <c r="P1" t="inlineStr">
        <is>
          <t>FB_0175_FCCS</t>
        </is>
      </c>
    </row>
    <row r="2">
      <c r="A2" s="34" t="inlineStr">
        <is>
          <t>eCANOPY_TREES_TOTAL_PERCENT_COVER</t>
        </is>
      </c>
      <c r="B2" t="n">
        <v>40</v>
      </c>
      <c r="E2" t="n">
        <v>80</v>
      </c>
      <c r="F2" t="n">
        <v>85</v>
      </c>
      <c r="G2" t="n">
        <v>60</v>
      </c>
      <c r="I2" t="n">
        <v>50</v>
      </c>
      <c r="J2" t="n">
        <v>2</v>
      </c>
      <c r="K2" t="n">
        <v>25</v>
      </c>
      <c r="L2" t="n">
        <v>84</v>
      </c>
      <c r="M2" t="n">
        <v>85</v>
      </c>
      <c r="N2" t="n">
        <v>5</v>
      </c>
      <c r="O2" t="n">
        <v>20</v>
      </c>
    </row>
    <row r="3">
      <c r="A3" s="34" t="inlineStr">
        <is>
          <t>eCANOPY_TREES_OVERSTORY_DIAMETER_AT_BREAST_HEIGHT</t>
        </is>
      </c>
      <c r="B3" t="n">
        <v>9.6</v>
      </c>
      <c r="E3" t="n">
        <v>2.9</v>
      </c>
      <c r="F3" t="n">
        <v>14</v>
      </c>
      <c r="G3" t="n">
        <v>12</v>
      </c>
      <c r="I3" t="n">
        <v>27</v>
      </c>
      <c r="J3" t="n">
        <v>2.8</v>
      </c>
      <c r="K3" t="n">
        <v>10.6</v>
      </c>
      <c r="L3" t="n">
        <v>29</v>
      </c>
      <c r="M3" t="n">
        <v>17</v>
      </c>
      <c r="N3" t="n">
        <v>12</v>
      </c>
      <c r="O3" t="n">
        <v>6</v>
      </c>
    </row>
    <row r="4">
      <c r="A4" s="34" t="inlineStr">
        <is>
          <t>eCANOPY_TREES_OVERSTORY_HEIGHT_TO_LIVE_CROWN</t>
        </is>
      </c>
      <c r="B4" t="n">
        <v>20</v>
      </c>
      <c r="E4" t="n">
        <v>4</v>
      </c>
      <c r="F4" t="n">
        <v>20</v>
      </c>
      <c r="G4" t="n">
        <v>55</v>
      </c>
      <c r="I4" t="n">
        <v>55</v>
      </c>
      <c r="J4" t="n">
        <v>0.8</v>
      </c>
      <c r="K4" t="n">
        <v>13.2</v>
      </c>
      <c r="L4" t="n">
        <v>68</v>
      </c>
      <c r="M4" t="n">
        <v>60</v>
      </c>
      <c r="N4" t="n">
        <v>45</v>
      </c>
      <c r="O4" t="n">
        <v>10.5</v>
      </c>
    </row>
    <row r="5">
      <c r="A5" s="34" t="inlineStr">
        <is>
          <t>eCANOPY_TREES_OVERSTORY_HEIGHT</t>
        </is>
      </c>
      <c r="B5" t="n">
        <v>100</v>
      </c>
      <c r="E5" t="n">
        <v>25</v>
      </c>
      <c r="F5" t="n">
        <v>60</v>
      </c>
      <c r="G5" t="n">
        <v>78</v>
      </c>
      <c r="I5" t="n">
        <v>105</v>
      </c>
      <c r="J5" t="n">
        <v>7.2</v>
      </c>
      <c r="K5" t="n">
        <v>34.7</v>
      </c>
      <c r="L5" t="n">
        <v>110</v>
      </c>
      <c r="M5" t="n">
        <v>100</v>
      </c>
      <c r="N5" t="n">
        <v>70</v>
      </c>
      <c r="O5" t="n">
        <v>25</v>
      </c>
    </row>
    <row r="6">
      <c r="A6" s="34" t="inlineStr">
        <is>
          <t>eCANOPY_TREES_OVERSTORY_PERCENT_COVER</t>
        </is>
      </c>
      <c r="B6" t="n">
        <v>40</v>
      </c>
      <c r="E6" t="n">
        <v>80</v>
      </c>
      <c r="F6" t="n">
        <v>50</v>
      </c>
      <c r="G6" t="n">
        <v>50</v>
      </c>
      <c r="I6" t="n">
        <v>20</v>
      </c>
      <c r="J6" t="n">
        <v>1</v>
      </c>
      <c r="K6" t="n">
        <v>21</v>
      </c>
      <c r="L6" t="n">
        <v>20</v>
      </c>
      <c r="M6" t="n">
        <v>55</v>
      </c>
      <c r="N6" t="n">
        <v>5</v>
      </c>
      <c r="O6" t="n">
        <v>20</v>
      </c>
    </row>
    <row r="7">
      <c r="A7" s="34" t="inlineStr">
        <is>
          <t>eCANOPY_TREES_OVERSTORY_STEM_DENSITY</t>
        </is>
      </c>
      <c r="B7" t="n">
        <v>12</v>
      </c>
      <c r="E7" t="n">
        <v>3500</v>
      </c>
      <c r="F7" t="n">
        <v>45</v>
      </c>
      <c r="G7" t="n">
        <v>100</v>
      </c>
      <c r="I7" t="n">
        <v>17</v>
      </c>
      <c r="J7" t="n">
        <v>36</v>
      </c>
      <c r="K7" t="n">
        <v>106</v>
      </c>
      <c r="L7" t="n">
        <v>15</v>
      </c>
      <c r="M7" t="n">
        <v>75</v>
      </c>
      <c r="N7" t="n">
        <v>15</v>
      </c>
      <c r="O7" t="n">
        <v>60</v>
      </c>
    </row>
    <row r="8">
      <c r="A8" s="34" t="inlineStr">
        <is>
          <t>eCANOPY_TREES_MIDSTORY_DIAMETER_AT_BREAST_HEIGHT</t>
        </is>
      </c>
      <c r="F8" t="n">
        <v>7.5</v>
      </c>
      <c r="I8" t="n">
        <v>10</v>
      </c>
      <c r="L8" t="n">
        <v>14</v>
      </c>
      <c r="M8" t="n">
        <v>6</v>
      </c>
      <c r="N8" t="n">
        <v>8</v>
      </c>
    </row>
    <row r="9">
      <c r="A9" s="34" t="inlineStr">
        <is>
          <t>eCANOPY_TREES_MIDSTORY_HEIGHT_TO_LIVE_CROWN</t>
        </is>
      </c>
      <c r="F9" t="n">
        <v>10</v>
      </c>
      <c r="I9" t="n">
        <v>28</v>
      </c>
      <c r="L9" t="n">
        <v>25</v>
      </c>
      <c r="M9" t="n">
        <v>40</v>
      </c>
      <c r="N9" t="n">
        <v>15</v>
      </c>
    </row>
    <row r="10">
      <c r="A10" s="34" t="inlineStr">
        <is>
          <t>eCANOPY_TREES_MIDSTORY_HEIGHT</t>
        </is>
      </c>
      <c r="F10" t="n">
        <v>44</v>
      </c>
      <c r="I10" t="n">
        <v>58</v>
      </c>
      <c r="L10" t="n">
        <v>54</v>
      </c>
      <c r="M10" t="n">
        <v>60</v>
      </c>
      <c r="N10" t="n">
        <v>20</v>
      </c>
    </row>
    <row r="11">
      <c r="A11" s="34" t="inlineStr">
        <is>
          <t>eCANOPY_TREES_MIDSTORY_PERCENT_COVER</t>
        </is>
      </c>
      <c r="F11" t="n">
        <v>50</v>
      </c>
      <c r="I11" t="n">
        <v>40</v>
      </c>
      <c r="L11" t="n">
        <v>40</v>
      </c>
      <c r="M11" t="n">
        <v>40</v>
      </c>
      <c r="N11" t="n">
        <v>5</v>
      </c>
    </row>
    <row r="12">
      <c r="A12" s="34" t="inlineStr">
        <is>
          <t>eCANOPY_TREES_MIDSTORY_STEM_DENSITY</t>
        </is>
      </c>
      <c r="F12" t="n">
        <v>150</v>
      </c>
      <c r="I12" t="n">
        <v>153</v>
      </c>
      <c r="L12" t="n">
        <v>100</v>
      </c>
      <c r="M12" t="n">
        <v>150</v>
      </c>
      <c r="N12" t="n">
        <v>10</v>
      </c>
    </row>
    <row r="13">
      <c r="A13" s="34" t="inlineStr">
        <is>
          <t>eCANOPY_TREES_UNDERSTORY_DIAMETER_AT_BREAST_HEIGHT</t>
        </is>
      </c>
      <c r="E13" t="n">
        <v>0.5</v>
      </c>
      <c r="F13" t="n">
        <v>1.7</v>
      </c>
      <c r="G13" t="n">
        <v>1</v>
      </c>
      <c r="J13" t="n">
        <v>0.4</v>
      </c>
      <c r="L13" t="n">
        <v>5</v>
      </c>
      <c r="M13" t="n">
        <v>2</v>
      </c>
      <c r="O13" t="n">
        <v>0</v>
      </c>
    </row>
    <row r="14">
      <c r="A14" s="34" t="inlineStr">
        <is>
          <t>eCANOPY_TREES_UNDERSTORY_HEIGHT_TO_LIVE_CROWN</t>
        </is>
      </c>
      <c r="E14" t="n">
        <v>0</v>
      </c>
      <c r="F14" t="n">
        <v>2</v>
      </c>
      <c r="G14" t="n">
        <v>2</v>
      </c>
      <c r="J14" t="n">
        <v>0.1</v>
      </c>
      <c r="L14" t="n">
        <v>12</v>
      </c>
      <c r="M14" t="n">
        <v>4</v>
      </c>
      <c r="O14" t="n">
        <v>1</v>
      </c>
    </row>
    <row r="15">
      <c r="A15" s="34" t="inlineStr">
        <is>
          <t>eCANOPY_TREES_UNDERSTORY_HEIGHT</t>
        </is>
      </c>
      <c r="E15" t="n">
        <v>1.5</v>
      </c>
      <c r="F15" t="n">
        <v>10</v>
      </c>
      <c r="G15" t="n">
        <v>5</v>
      </c>
      <c r="J15" t="n">
        <v>0.9</v>
      </c>
      <c r="L15" t="n">
        <v>27.5</v>
      </c>
      <c r="M15" t="n">
        <v>15</v>
      </c>
      <c r="O15" t="n">
        <v>3</v>
      </c>
    </row>
    <row r="16">
      <c r="A16" s="34" t="inlineStr">
        <is>
          <t>eCANOPY_TREES_UNDERSTORY_PERCENT_COVER</t>
        </is>
      </c>
      <c r="E16" t="n">
        <v>3</v>
      </c>
      <c r="F16" t="n">
        <v>30</v>
      </c>
      <c r="G16" t="n">
        <v>5</v>
      </c>
      <c r="J16" t="n">
        <v>1</v>
      </c>
      <c r="L16" t="n">
        <v>40</v>
      </c>
      <c r="M16" t="n">
        <v>20</v>
      </c>
      <c r="O16" t="n">
        <v>3</v>
      </c>
    </row>
    <row r="17">
      <c r="A17" s="34" t="inlineStr">
        <is>
          <t>eCANOPY_TREES_UNDERSTORY_STEM_DENSITY</t>
        </is>
      </c>
      <c r="E17" t="n">
        <v>1000</v>
      </c>
      <c r="F17" t="n">
        <v>1000</v>
      </c>
      <c r="G17" t="n">
        <v>25</v>
      </c>
      <c r="J17" t="n">
        <v>108</v>
      </c>
      <c r="L17" t="n">
        <v>700</v>
      </c>
      <c r="M17" t="n">
        <v>300</v>
      </c>
      <c r="O17" t="n">
        <v>40</v>
      </c>
    </row>
    <row r="18">
      <c r="A18" s="34" t="inlineStr">
        <is>
          <t>eCANOPY_SNAGS_CLASS_1_ALL_OTHERS_DIAMETER</t>
        </is>
      </c>
      <c r="E18" t="n">
        <v>3.5</v>
      </c>
      <c r="F18" t="n">
        <v>13</v>
      </c>
      <c r="M18" t="n">
        <v>7</v>
      </c>
    </row>
    <row r="19">
      <c r="A19" s="34" t="inlineStr">
        <is>
          <t>eCANOPY_SNAGS_CLASS_1_ALL_OTHERS_HEIGHT</t>
        </is>
      </c>
      <c r="E19" t="n">
        <v>25</v>
      </c>
      <c r="F19" t="n">
        <v>55</v>
      </c>
      <c r="M19" t="n">
        <v>45</v>
      </c>
    </row>
    <row r="20">
      <c r="A20" s="34" t="inlineStr">
        <is>
          <t>eCANOPY_SNAGS_CLASS_1_ALL_OTHERS_STEM_DENSITY</t>
        </is>
      </c>
      <c r="E20" t="n">
        <v>100</v>
      </c>
      <c r="F20" t="n">
        <v>5</v>
      </c>
      <c r="M20" t="n">
        <v>15</v>
      </c>
    </row>
    <row r="21">
      <c r="A21" s="34" t="inlineStr">
        <is>
          <t>eCANOPY_SNAGS_CLASS_1_CONIFERS_WITH_FOLIAGE_HEIGHT_TO_CROWN_BASE</t>
        </is>
      </c>
      <c r="F21" t="n">
        <v>33.35</v>
      </c>
      <c r="I21" t="n">
        <v>47.36</v>
      </c>
      <c r="M21" t="n">
        <v>33.35</v>
      </c>
    </row>
    <row r="22">
      <c r="A22" s="34" t="inlineStr">
        <is>
          <t>eCANOPY_SNAGS_CLASS_1_CONIFERS_WITH_FOLIAGE_DIAMETER</t>
        </is>
      </c>
      <c r="F22" t="n">
        <v>9</v>
      </c>
      <c r="I22" t="n">
        <v>20.6</v>
      </c>
      <c r="M22" t="n">
        <v>9</v>
      </c>
    </row>
    <row r="23">
      <c r="A23" s="34" t="inlineStr">
        <is>
          <t>eCANOPY_SNAGS_CLASS_1_CONIFERS_WITH_FOLIAGE_HEIGHT</t>
        </is>
      </c>
      <c r="F23" t="n">
        <v>50</v>
      </c>
      <c r="I23" t="n">
        <v>71</v>
      </c>
      <c r="M23" t="n">
        <v>50</v>
      </c>
    </row>
    <row r="24">
      <c r="A24" s="34" t="inlineStr">
        <is>
          <t>eCANOPY_SNAGS_CLASS_1_CONIFERS_WITH_FOLIAGE_PERCENT_COVER</t>
        </is>
      </c>
      <c r="F24" t="n">
        <v>0.5071</v>
      </c>
      <c r="I24" t="n">
        <v>1.43152</v>
      </c>
      <c r="M24" t="n">
        <v>0.10142</v>
      </c>
    </row>
    <row r="25">
      <c r="A25" s="34" t="inlineStr">
        <is>
          <t>eCANOPY_SNAGS_CLASS_1_CONIFERS_WITH_FOLIAGE_STEM_DENSITY</t>
        </is>
      </c>
      <c r="F25" t="n">
        <v>5</v>
      </c>
      <c r="I25" t="n">
        <v>7</v>
      </c>
      <c r="M25" t="n">
        <v>1</v>
      </c>
    </row>
    <row r="26">
      <c r="A26" s="34" t="inlineStr">
        <is>
          <t>eCANOPY_SNAGS_CLASS_2_DIAMETER</t>
        </is>
      </c>
      <c r="E26" t="n">
        <v>3.5</v>
      </c>
      <c r="F26" t="n">
        <v>11</v>
      </c>
      <c r="G26" t="n">
        <v>12</v>
      </c>
      <c r="I26" t="n">
        <v>20.6</v>
      </c>
      <c r="L26" t="n">
        <v>11.3</v>
      </c>
      <c r="M26" t="n">
        <v>7</v>
      </c>
      <c r="O26" t="n">
        <v>5</v>
      </c>
    </row>
    <row r="27">
      <c r="A27" s="34" t="inlineStr">
        <is>
          <t>eCANOPY_SNAGS_CLASS_2_HEIGHT</t>
        </is>
      </c>
      <c r="E27" t="n">
        <v>20</v>
      </c>
      <c r="F27" t="n">
        <v>50</v>
      </c>
      <c r="G27" t="n">
        <v>70</v>
      </c>
      <c r="I27" t="n">
        <v>65</v>
      </c>
      <c r="L27" t="n">
        <v>51.3</v>
      </c>
      <c r="M27" t="n">
        <v>40</v>
      </c>
      <c r="O27" t="n">
        <v>20</v>
      </c>
    </row>
    <row r="28">
      <c r="A28" s="34" t="inlineStr">
        <is>
          <t>eCANOPY_SNAGS_CLASS_2_STEM_DENSITY</t>
        </is>
      </c>
      <c r="E28" t="n">
        <v>150</v>
      </c>
      <c r="F28" t="n">
        <v>10</v>
      </c>
      <c r="G28" t="n">
        <v>3</v>
      </c>
      <c r="I28" t="n">
        <v>7</v>
      </c>
      <c r="L28" t="n">
        <v>5</v>
      </c>
      <c r="M28" t="n">
        <v>15</v>
      </c>
      <c r="O28" t="n">
        <v>4</v>
      </c>
    </row>
    <row r="29">
      <c r="A29" s="34" t="inlineStr">
        <is>
          <t>eCANOPY_SNAGS_CLASS_3_DIAMETER</t>
        </is>
      </c>
      <c r="B29" t="n">
        <v>9</v>
      </c>
      <c r="E29" t="n">
        <v>3.5</v>
      </c>
      <c r="F29" t="n">
        <v>11</v>
      </c>
      <c r="G29" t="n">
        <v>10</v>
      </c>
      <c r="I29" t="n">
        <v>20.6</v>
      </c>
      <c r="L29" t="n">
        <v>11.3</v>
      </c>
      <c r="M29" t="n">
        <v>7</v>
      </c>
      <c r="O29" t="n">
        <v>5</v>
      </c>
    </row>
    <row r="30">
      <c r="A30" s="34" t="inlineStr">
        <is>
          <t>eCANOPY_SNAGS_CLASS_3_HEIGHT</t>
        </is>
      </c>
      <c r="B30" t="n">
        <v>60</v>
      </c>
      <c r="E30" t="n">
        <v>15</v>
      </c>
      <c r="F30" t="n">
        <v>40</v>
      </c>
      <c r="G30" t="n">
        <v>60</v>
      </c>
      <c r="I30" t="n">
        <v>50</v>
      </c>
      <c r="L30" t="n">
        <v>26</v>
      </c>
      <c r="M30" t="n">
        <v>20</v>
      </c>
      <c r="O30" t="n">
        <v>15</v>
      </c>
    </row>
    <row r="31">
      <c r="A31" s="34" t="inlineStr">
        <is>
          <t>eCANOPY_SNAGS_CLASS_3_STEM_DENSITY</t>
        </is>
      </c>
      <c r="B31" t="n">
        <v>3</v>
      </c>
      <c r="E31" t="n">
        <v>150</v>
      </c>
      <c r="F31" t="n">
        <v>5</v>
      </c>
      <c r="G31" t="n">
        <v>3</v>
      </c>
      <c r="I31" t="n">
        <v>7</v>
      </c>
      <c r="L31" t="n">
        <v>60</v>
      </c>
      <c r="M31" t="n">
        <v>15</v>
      </c>
      <c r="O31" t="n">
        <v>3</v>
      </c>
    </row>
    <row r="32">
      <c r="A32" s="34" t="inlineStr">
        <is>
          <t>eCANOPY_LADDER_FUELS_MAXIMUM_HEIGHT</t>
        </is>
      </c>
      <c r="E32" t="n">
        <v>4</v>
      </c>
      <c r="F32" t="n">
        <v>15</v>
      </c>
      <c r="I32" t="n">
        <v>58</v>
      </c>
      <c r="L32" t="n">
        <v>50</v>
      </c>
    </row>
    <row r="33">
      <c r="A33" s="34" t="inlineStr">
        <is>
          <t>eCANOPY_LADDER_FUELS_MINIMUM_HEIGHT</t>
        </is>
      </c>
      <c r="E33" t="n">
        <v>0</v>
      </c>
      <c r="F33" t="n">
        <v>5</v>
      </c>
      <c r="I33" t="n">
        <v>28</v>
      </c>
      <c r="L33" t="n">
        <v>5</v>
      </c>
    </row>
    <row r="34">
      <c r="A34" s="34" t="inlineStr">
        <is>
          <t>eSHRUBS_PRIMARY_LAYER_HEIGHT</t>
        </is>
      </c>
      <c r="B34" t="n">
        <v>2.2</v>
      </c>
      <c r="C34" t="n">
        <v>5</v>
      </c>
      <c r="D34" t="n">
        <v>3</v>
      </c>
      <c r="E34" t="n">
        <v>5</v>
      </c>
      <c r="F34" t="n">
        <v>6</v>
      </c>
      <c r="G34" t="n">
        <v>5</v>
      </c>
      <c r="I34" t="n">
        <v>5</v>
      </c>
      <c r="J34" t="n">
        <v>1.7</v>
      </c>
      <c r="K34" t="n">
        <v>3.9</v>
      </c>
      <c r="L34" t="n">
        <v>3.1</v>
      </c>
      <c r="M34" t="n">
        <v>10</v>
      </c>
      <c r="N34" t="n">
        <v>10</v>
      </c>
      <c r="O34" t="n">
        <v>3.5</v>
      </c>
    </row>
    <row r="35">
      <c r="A35" s="34" t="inlineStr">
        <is>
          <t>eSHRUBS_PRIMARY_LAYER_PERCENT_COVER</t>
        </is>
      </c>
      <c r="B35" t="n">
        <v>21.6</v>
      </c>
      <c r="C35" t="n">
        <v>70</v>
      </c>
      <c r="D35" t="n">
        <v>2</v>
      </c>
      <c r="E35" t="n">
        <v>10</v>
      </c>
      <c r="F35" t="n">
        <v>30</v>
      </c>
      <c r="G35" t="n">
        <v>80</v>
      </c>
      <c r="I35" t="n">
        <v>60</v>
      </c>
      <c r="J35" t="n">
        <v>40</v>
      </c>
      <c r="K35" t="n">
        <v>33</v>
      </c>
      <c r="L35" t="n">
        <v>8</v>
      </c>
      <c r="M35" t="n">
        <v>25</v>
      </c>
      <c r="N35" t="n">
        <v>10</v>
      </c>
      <c r="O35" t="n">
        <v>85</v>
      </c>
    </row>
    <row r="36">
      <c r="A36" s="34" t="inlineStr">
        <is>
          <t>eSHRUBS_PRIMARY_LAYER_PERCENT_LIVE</t>
        </is>
      </c>
      <c r="B36" t="n">
        <v>85</v>
      </c>
      <c r="C36" t="n">
        <v>85</v>
      </c>
      <c r="D36" t="n">
        <v>100</v>
      </c>
      <c r="E36" t="n">
        <v>90</v>
      </c>
      <c r="F36" t="n">
        <v>85</v>
      </c>
      <c r="G36" t="n">
        <v>90</v>
      </c>
      <c r="I36" t="n">
        <v>90</v>
      </c>
      <c r="J36" t="n">
        <v>93</v>
      </c>
      <c r="K36" t="n">
        <v>80</v>
      </c>
      <c r="L36" t="n">
        <v>90</v>
      </c>
      <c r="M36" t="n">
        <v>85</v>
      </c>
      <c r="N36" t="n">
        <v>80</v>
      </c>
      <c r="O36" t="n">
        <v>90</v>
      </c>
    </row>
    <row r="37">
      <c r="A37" s="34" t="inlineStr">
        <is>
          <t>eSHRUBS_PRIMARY_LAYER_LOADING</t>
        </is>
      </c>
    </row>
    <row r="38">
      <c r="A38" s="34" t="inlineStr">
        <is>
          <t>eSHRUBS_SECONDARY_LAYER_HEIGHT</t>
        </is>
      </c>
      <c r="B38" t="n">
        <v>0.3</v>
      </c>
      <c r="C38" t="n">
        <v>2</v>
      </c>
      <c r="E38" t="n">
        <v>1</v>
      </c>
      <c r="M38" t="n">
        <v>2.5</v>
      </c>
      <c r="N38" t="n">
        <v>4</v>
      </c>
      <c r="O38" t="n">
        <v>5</v>
      </c>
    </row>
    <row r="39">
      <c r="A39" s="34" t="inlineStr">
        <is>
          <t>eSHRUBS_SECONDARY_LAYER_PERCENT_COVER</t>
        </is>
      </c>
      <c r="B39" t="n">
        <v>1.2</v>
      </c>
      <c r="C39" t="n">
        <v>5</v>
      </c>
      <c r="E39" t="n">
        <v>20</v>
      </c>
      <c r="M39" t="n">
        <v>20</v>
      </c>
      <c r="N39" t="n">
        <v>15</v>
      </c>
      <c r="O39" t="n">
        <v>30</v>
      </c>
    </row>
    <row r="40">
      <c r="A40" s="34" t="inlineStr">
        <is>
          <t>eSHRUBS_SECONDARY_LAYER_PERCENT_LIVE</t>
        </is>
      </c>
      <c r="B40" t="n">
        <v>95</v>
      </c>
      <c r="C40" t="n">
        <v>85</v>
      </c>
      <c r="E40" t="n">
        <v>90</v>
      </c>
      <c r="M40" t="n">
        <v>85</v>
      </c>
      <c r="N40" t="n">
        <v>80</v>
      </c>
      <c r="O40" t="n">
        <v>90</v>
      </c>
    </row>
    <row r="41">
      <c r="A41" s="34" t="inlineStr">
        <is>
          <t>eSHRUBS_SECONDARY_LAYER_LOADING</t>
        </is>
      </c>
    </row>
    <row r="42">
      <c r="A42" s="34" t="inlineStr">
        <is>
          <t>eHERBACEOUS_PRIMARY_LAYER_HEIGHT</t>
        </is>
      </c>
      <c r="B42" t="n">
        <v>0.9</v>
      </c>
      <c r="D42" t="n">
        <v>2</v>
      </c>
      <c r="E42" t="n">
        <v>1</v>
      </c>
      <c r="F42" t="n">
        <v>2.5</v>
      </c>
      <c r="G42" t="n">
        <v>2</v>
      </c>
      <c r="I42" t="n">
        <v>1</v>
      </c>
      <c r="J42" t="n">
        <v>1</v>
      </c>
      <c r="K42" t="n">
        <v>1.5</v>
      </c>
      <c r="L42" t="n">
        <v>0.5</v>
      </c>
      <c r="M42" t="n">
        <v>1.5</v>
      </c>
      <c r="N42" t="n">
        <v>1.5</v>
      </c>
      <c r="O42" t="n">
        <v>1</v>
      </c>
      <c r="P42" t="n">
        <v>6</v>
      </c>
    </row>
    <row r="43">
      <c r="A43" s="34" t="inlineStr">
        <is>
          <t>eHERBACEOUS_PRIMARY_LAYER_LOADING</t>
        </is>
      </c>
      <c r="B43" t="n">
        <v>0.1</v>
      </c>
      <c r="D43" t="n">
        <v>1</v>
      </c>
      <c r="E43" t="n">
        <v>0.01</v>
      </c>
      <c r="F43" t="n">
        <v>0.4</v>
      </c>
      <c r="G43" t="n">
        <v>0.1</v>
      </c>
      <c r="I43" t="n">
        <v>0.75</v>
      </c>
      <c r="J43" t="n">
        <v>0.2</v>
      </c>
      <c r="K43" t="n">
        <v>0.5</v>
      </c>
      <c r="L43" t="n">
        <v>0.05</v>
      </c>
      <c r="M43" t="n">
        <v>0.05</v>
      </c>
      <c r="N43" t="n">
        <v>0.3</v>
      </c>
      <c r="O43" t="n">
        <v>0.1</v>
      </c>
      <c r="P43" t="n">
        <v>4</v>
      </c>
    </row>
    <row r="44">
      <c r="A44" s="34" t="inlineStr">
        <is>
          <t>eHERBACEOUS_PRIMARY_LAYER_PERCENT_COVER</t>
        </is>
      </c>
      <c r="B44" t="n">
        <v>0.7</v>
      </c>
      <c r="D44" t="n">
        <v>90</v>
      </c>
      <c r="E44" t="n">
        <v>2</v>
      </c>
      <c r="F44" t="n">
        <v>30</v>
      </c>
      <c r="G44" t="n">
        <v>20</v>
      </c>
      <c r="I44" t="n">
        <v>40</v>
      </c>
      <c r="J44" t="n">
        <v>20</v>
      </c>
      <c r="K44" t="n">
        <v>6</v>
      </c>
      <c r="L44" t="n">
        <v>6</v>
      </c>
      <c r="M44" t="n">
        <v>10</v>
      </c>
      <c r="N44" t="n">
        <v>95</v>
      </c>
      <c r="O44" t="n">
        <v>10</v>
      </c>
      <c r="P44" t="n">
        <v>100</v>
      </c>
    </row>
    <row r="45">
      <c r="A45" s="34" t="inlineStr">
        <is>
          <t>eHERBACEOUS_PRIMARY_LAYER_PERCENT_LIVE</t>
        </is>
      </c>
      <c r="B45" t="n">
        <v>95</v>
      </c>
      <c r="D45" t="n">
        <v>85</v>
      </c>
      <c r="E45" t="n">
        <v>90</v>
      </c>
      <c r="F45" t="n">
        <v>80</v>
      </c>
      <c r="G45" t="n">
        <v>60</v>
      </c>
      <c r="I45" t="n">
        <v>75</v>
      </c>
      <c r="J45" t="n">
        <v>90</v>
      </c>
      <c r="K45" t="n">
        <v>80</v>
      </c>
      <c r="L45" t="n">
        <v>80</v>
      </c>
      <c r="M45" t="n">
        <v>75</v>
      </c>
      <c r="N45" t="n">
        <v>80</v>
      </c>
      <c r="O45" t="n">
        <v>80</v>
      </c>
      <c r="P45" t="n">
        <v>65</v>
      </c>
    </row>
    <row r="46">
      <c r="A46" s="34" t="inlineStr">
        <is>
          <t>eHERBACEOUS_SECONDARY_LAYER_HEIGHT</t>
        </is>
      </c>
      <c r="B46" t="n">
        <v>0.9</v>
      </c>
      <c r="D46" t="n">
        <v>1</v>
      </c>
      <c r="E46" t="n">
        <v>0.5</v>
      </c>
      <c r="G46" t="n">
        <v>1</v>
      </c>
      <c r="K46" t="n">
        <v>1.5</v>
      </c>
      <c r="N46" t="n">
        <v>1.5</v>
      </c>
    </row>
    <row r="47">
      <c r="A47" s="34" t="inlineStr">
        <is>
          <t>eHERBACEOUS_SECONDARY_LAYER_LOADING</t>
        </is>
      </c>
      <c r="B47" t="n">
        <v>0.1</v>
      </c>
      <c r="D47" t="n">
        <v>0.01</v>
      </c>
      <c r="E47" t="n">
        <v>0.02</v>
      </c>
      <c r="G47" t="n">
        <v>0.1</v>
      </c>
      <c r="K47" t="n">
        <v>0.1</v>
      </c>
      <c r="N47" t="n">
        <v>0.05</v>
      </c>
    </row>
    <row r="48">
      <c r="A48" s="34" t="inlineStr">
        <is>
          <t>eHERBACEOUS_SECONDARY_LAYER_PERCENT_COVER</t>
        </is>
      </c>
      <c r="B48" t="n">
        <v>0.2</v>
      </c>
      <c r="D48" t="n">
        <v>8</v>
      </c>
      <c r="E48" t="n">
        <v>5</v>
      </c>
      <c r="G48" t="n">
        <v>20</v>
      </c>
      <c r="K48" t="n">
        <v>1</v>
      </c>
      <c r="N48" t="n">
        <v>65</v>
      </c>
    </row>
    <row r="49">
      <c r="A49" s="34" t="inlineStr">
        <is>
          <t>eHERBACEOUS_SECONDARY_LAYER_PERCENT_LIVE</t>
        </is>
      </c>
      <c r="B49" t="n">
        <v>85</v>
      </c>
      <c r="D49" t="n">
        <v>70</v>
      </c>
      <c r="E49" t="n">
        <v>90</v>
      </c>
      <c r="G49" t="n">
        <v>60</v>
      </c>
      <c r="K49" t="n">
        <v>75</v>
      </c>
      <c r="N49" t="n">
        <v>80</v>
      </c>
    </row>
    <row r="50">
      <c r="A50" s="34" t="inlineStr">
        <is>
          <t>eWOODY_FUEL_ALL_DOWNED_WOODY_FUEL_DEPTH</t>
        </is>
      </c>
      <c r="B50" t="n">
        <v>4</v>
      </c>
      <c r="C50" t="n">
        <v>1</v>
      </c>
      <c r="E50" t="n">
        <v>0.5</v>
      </c>
      <c r="F50" t="n">
        <v>1</v>
      </c>
      <c r="G50" t="n">
        <v>0.5</v>
      </c>
      <c r="I50" t="n">
        <v>2</v>
      </c>
      <c r="J50" t="n">
        <v>0.2</v>
      </c>
      <c r="K50" t="n">
        <v>1</v>
      </c>
      <c r="L50" t="n">
        <v>3</v>
      </c>
      <c r="M50" t="n">
        <v>1</v>
      </c>
      <c r="N50" t="n">
        <v>0.5</v>
      </c>
    </row>
    <row r="51">
      <c r="A51" s="34" t="inlineStr">
        <is>
          <t>eWOODY_FUEL_ALL_DOWNED_WOODY_FUEL_TOTAL_PERCENT_COVER</t>
        </is>
      </c>
      <c r="B51" t="n">
        <v>70</v>
      </c>
      <c r="C51" t="n">
        <v>50</v>
      </c>
      <c r="E51" t="n">
        <v>30</v>
      </c>
      <c r="F51" t="n">
        <v>40</v>
      </c>
      <c r="G51" t="n">
        <v>15</v>
      </c>
      <c r="I51" t="n">
        <v>2</v>
      </c>
      <c r="J51" t="n">
        <v>10</v>
      </c>
      <c r="K51" t="n">
        <v>30</v>
      </c>
      <c r="L51" t="n">
        <v>80</v>
      </c>
      <c r="M51" t="n">
        <v>25</v>
      </c>
      <c r="N51" t="n">
        <v>15</v>
      </c>
    </row>
    <row r="52">
      <c r="A52" s="34" t="inlineStr">
        <is>
          <t>eWOODY_FUEL_SOUND_WOOD_LOADINGS_ZERO_TO_THREE_INCHES_ONE_TO_THREE_INCHES</t>
        </is>
      </c>
      <c r="B52" t="n">
        <v>2</v>
      </c>
      <c r="C52" t="n">
        <v>1</v>
      </c>
      <c r="E52" t="n">
        <v>0.5</v>
      </c>
      <c r="F52" t="n">
        <v>1</v>
      </c>
      <c r="G52" t="n">
        <v>0.3</v>
      </c>
      <c r="I52" t="n">
        <v>1.2</v>
      </c>
      <c r="J52" t="n">
        <v>0.2</v>
      </c>
      <c r="K52" t="n">
        <v>0.8</v>
      </c>
      <c r="L52" t="n">
        <v>4.2</v>
      </c>
      <c r="M52" t="n">
        <v>0.7</v>
      </c>
      <c r="N52" t="n">
        <v>0.14</v>
      </c>
    </row>
    <row r="53">
      <c r="A53" s="34" t="inlineStr">
        <is>
          <t>eWOODY_FUEL_SOUND_WOOD_LOADINGS_ZERO_TO_THREE_INCHES_QUARTER_INCH_TO_ONE_INCH</t>
        </is>
      </c>
      <c r="B53" t="n">
        <v>1.5</v>
      </c>
      <c r="C53" t="n">
        <v>1</v>
      </c>
      <c r="E53" t="n">
        <v>0.2</v>
      </c>
      <c r="F53" t="n">
        <v>0.5</v>
      </c>
      <c r="G53" t="n">
        <v>0.4</v>
      </c>
      <c r="I53" t="n">
        <v>1.4</v>
      </c>
      <c r="J53" t="n">
        <v>0.4</v>
      </c>
      <c r="K53" t="n">
        <v>0.5</v>
      </c>
      <c r="L53" t="n">
        <v>3.3</v>
      </c>
      <c r="M53" t="n">
        <v>0.4</v>
      </c>
      <c r="N53" t="n">
        <v>0.16</v>
      </c>
    </row>
    <row r="54">
      <c r="A54" s="34" t="inlineStr">
        <is>
          <t>eWOODY_FUEL_SOUND_WOOD_LOADINGS_ZERO_TO_THREE_INCHES_ZERO_TO_QUARTER_INCH</t>
        </is>
      </c>
      <c r="B54" t="n">
        <v>1</v>
      </c>
      <c r="C54" t="n">
        <v>0.5</v>
      </c>
      <c r="E54" t="n">
        <v>0.1</v>
      </c>
      <c r="F54" t="n">
        <v>0.3</v>
      </c>
      <c r="G54" t="n">
        <v>0.02</v>
      </c>
      <c r="I54" t="n">
        <v>0.5</v>
      </c>
      <c r="J54" t="n">
        <v>0.2</v>
      </c>
      <c r="K54" t="n">
        <v>0.4</v>
      </c>
      <c r="L54" t="n">
        <v>0.8</v>
      </c>
      <c r="M54" t="n">
        <v>0.02</v>
      </c>
      <c r="N54" t="n">
        <v>0.1</v>
      </c>
    </row>
    <row r="55">
      <c r="A55" s="34" t="inlineStr">
        <is>
          <t>eWOODY_FUEL_SOUND_WOOD_LOADINGS_GREATER_THAN_THREE_INCHES_THREE_TO_NINE_INCHES,</t>
        </is>
      </c>
      <c r="B55" t="n">
        <v>6</v>
      </c>
      <c r="C55" t="n">
        <v>0</v>
      </c>
      <c r="E55" t="n">
        <v>1</v>
      </c>
      <c r="F55" t="n">
        <v>1.2</v>
      </c>
      <c r="G55" t="n">
        <v>0.5</v>
      </c>
      <c r="I55" t="n">
        <v>4</v>
      </c>
      <c r="J55" t="n">
        <v>0</v>
      </c>
      <c r="K55" t="n">
        <v>0.4</v>
      </c>
      <c r="L55" t="n">
        <v>4</v>
      </c>
      <c r="M55" t="n">
        <v>1.8</v>
      </c>
      <c r="N55" t="n">
        <v>0.2</v>
      </c>
    </row>
    <row r="56">
      <c r="A56" s="34" t="inlineStr">
        <is>
          <t>eWOODY_FUEL_SOUND_WOOD_LOADINGS_GREATER_THAN_THREE_INCHES_NINE_TO_TWENTY_INCHES,</t>
        </is>
      </c>
      <c r="B56" t="n">
        <v>12</v>
      </c>
      <c r="C56" t="n">
        <v>0</v>
      </c>
      <c r="E56" t="n">
        <v>0</v>
      </c>
      <c r="F56" t="n">
        <v>0.5</v>
      </c>
      <c r="G56" t="n">
        <v>0</v>
      </c>
      <c r="I56" t="n">
        <v>2</v>
      </c>
      <c r="J56" t="n">
        <v>0</v>
      </c>
      <c r="K56" t="n">
        <v>0</v>
      </c>
      <c r="L56" t="n">
        <v>1</v>
      </c>
      <c r="M56" t="n">
        <v>1.8</v>
      </c>
      <c r="N56" t="n">
        <v>0.1</v>
      </c>
    </row>
    <row r="57">
      <c r="A57" s="34" t="inlineStr">
        <is>
          <t>eWOODY_FUEL_SOUND_WOOD_LOADINGS_GREATER_THAN_THREE_INCHES_GREATER_THAN_TWENTY_INCHES,</t>
        </is>
      </c>
      <c r="B57" t="n">
        <v>0</v>
      </c>
      <c r="C57" t="n">
        <v>0</v>
      </c>
      <c r="E57" t="n">
        <v>0</v>
      </c>
      <c r="F57" t="n">
        <v>0.5</v>
      </c>
      <c r="G57" t="n">
        <v>0</v>
      </c>
      <c r="I57" t="n">
        <v>0</v>
      </c>
      <c r="J57" t="n">
        <v>0</v>
      </c>
      <c r="K57" t="n">
        <v>0</v>
      </c>
      <c r="L57" t="n">
        <v>6</v>
      </c>
      <c r="M57" t="n">
        <v>0</v>
      </c>
      <c r="N57" t="n">
        <v>0</v>
      </c>
    </row>
    <row r="58">
      <c r="A58" s="34" t="inlineStr">
        <is>
          <t>eWOODY_FUEL_ROTTEN_WOOD_LOADINGS_GREATER_THAN_THREE_INCHES_THREE_TO_NINE_INCHES,</t>
        </is>
      </c>
      <c r="B58" t="n">
        <v>5</v>
      </c>
      <c r="E58" t="n">
        <v>0.5</v>
      </c>
      <c r="F58" t="n">
        <v>0.75</v>
      </c>
      <c r="I58" t="n">
        <v>1.6</v>
      </c>
      <c r="K58" t="n">
        <v>0.5</v>
      </c>
      <c r="L58" t="n">
        <v>2</v>
      </c>
      <c r="M58" t="n">
        <v>0.5</v>
      </c>
    </row>
    <row r="59">
      <c r="A59" s="34" t="inlineStr">
        <is>
          <t>eWOODY_FUEL_ROTTEN_WOOD_LOADINGS_GREATER_THAN_THREE_INCHES_NINE_TO_TWENTY_INCHES,</t>
        </is>
      </c>
      <c r="B59" t="n">
        <v>11</v>
      </c>
      <c r="E59" t="n">
        <v>0</v>
      </c>
      <c r="F59" t="n">
        <v>0.3</v>
      </c>
      <c r="I59" t="n">
        <v>1</v>
      </c>
      <c r="K59" t="n">
        <v>0</v>
      </c>
      <c r="L59" t="n">
        <v>0.5</v>
      </c>
      <c r="M59" t="n">
        <v>0</v>
      </c>
    </row>
    <row r="60">
      <c r="A60" s="34" t="inlineStr">
        <is>
          <t>eWOODY_FUEL_ROTTEN_WOOD_LOADINGS_GREATER_THAN_THREE_INCHES_GREATER_THAN_TWENTY_INCHES,</t>
        </is>
      </c>
      <c r="B60" t="n">
        <v>0</v>
      </c>
      <c r="E60" t="n">
        <v>0</v>
      </c>
      <c r="F60" t="n">
        <v>0</v>
      </c>
      <c r="I60" t="n">
        <v>0</v>
      </c>
      <c r="K60" t="n">
        <v>0</v>
      </c>
      <c r="L60" t="n">
        <v>0.5</v>
      </c>
      <c r="M60" t="n">
        <v>0</v>
      </c>
    </row>
    <row r="61">
      <c r="A61" s="34" t="inlineStr">
        <is>
          <t>eWOODY_FUEL_STUMPS_SOUND_DIAMETER</t>
        </is>
      </c>
      <c r="B61" t="n">
        <v>9.6</v>
      </c>
      <c r="E61" t="n">
        <v>3.5</v>
      </c>
      <c r="I61" t="n">
        <v>15</v>
      </c>
    </row>
    <row r="62">
      <c r="A62" s="34" t="inlineStr">
        <is>
          <t>eWOODY_FUEL_STUMPS_SOUND_HEIGHT</t>
        </is>
      </c>
      <c r="B62" t="n">
        <v>0.4</v>
      </c>
      <c r="E62" t="n">
        <v>2</v>
      </c>
      <c r="I62" t="n">
        <v>3</v>
      </c>
    </row>
    <row r="63">
      <c r="A63" s="34" t="inlineStr">
        <is>
          <t>eWOODY_FUEL_STUMPS_SOUND_STEM_DENSITY</t>
        </is>
      </c>
      <c r="B63" t="n">
        <v>115</v>
      </c>
      <c r="E63" t="n">
        <v>50</v>
      </c>
      <c r="I63" t="n">
        <v>5</v>
      </c>
    </row>
    <row r="64">
      <c r="A64" s="34" t="inlineStr">
        <is>
          <t>eWOODY_FUEL_STUMPS_ROTTEN_DIAMETER</t>
        </is>
      </c>
      <c r="B64" t="n">
        <v>9.6</v>
      </c>
      <c r="E64" t="n">
        <v>3.5</v>
      </c>
      <c r="F64" t="n">
        <v>10</v>
      </c>
      <c r="G64" t="n">
        <v>10</v>
      </c>
      <c r="I64" t="n">
        <v>15</v>
      </c>
      <c r="M64" t="n">
        <v>10</v>
      </c>
    </row>
    <row r="65">
      <c r="A65" s="34" t="inlineStr">
        <is>
          <t>eWOODY_FUEL_STUMPS_ROTTEN_HEIGHT</t>
        </is>
      </c>
      <c r="B65" t="n">
        <v>0.4</v>
      </c>
      <c r="E65" t="n">
        <v>2</v>
      </c>
      <c r="F65" t="n">
        <v>1</v>
      </c>
      <c r="G65" t="n">
        <v>1</v>
      </c>
      <c r="I65" t="n">
        <v>3</v>
      </c>
      <c r="M65" t="n">
        <v>0.5</v>
      </c>
    </row>
    <row r="66">
      <c r="A66" s="34" t="inlineStr">
        <is>
          <t>eWOODY_FUEL_STUMPS_ROTTEN_STEM_DENSITY</t>
        </is>
      </c>
      <c r="B66" t="n">
        <v>115</v>
      </c>
      <c r="E66" t="n">
        <v>50</v>
      </c>
      <c r="F66" t="n">
        <v>5</v>
      </c>
      <c r="G66" t="n">
        <v>3</v>
      </c>
      <c r="I66" t="n">
        <v>5</v>
      </c>
      <c r="M66" t="n">
        <v>80</v>
      </c>
    </row>
    <row r="67">
      <c r="A67" s="34" t="inlineStr">
        <is>
          <t>eWOODY_FUEL_STUMPS_LIGHTERED_PITCHY_DIAMETER</t>
        </is>
      </c>
    </row>
    <row r="68">
      <c r="A68" s="34" t="inlineStr">
        <is>
          <t>eWOODY_FUEL_STUMPS_LIGHTERED_PITCHY_HEIGHT</t>
        </is>
      </c>
    </row>
    <row r="69">
      <c r="A69" s="34" t="inlineStr">
        <is>
          <t>eWOODY_FUEL_STUMPS_LIGHTERED_PITCHY_STEM_DENSITY</t>
        </is>
      </c>
    </row>
    <row r="70">
      <c r="A70" s="34" t="inlineStr">
        <is>
          <t>eWOODY_FUEL_PILES_CLEAN_LOADING</t>
        </is>
      </c>
      <c r="B70" t="n">
        <v>0.07811899999999999</v>
      </c>
      <c r="C70" t="n">
        <v>0</v>
      </c>
      <c r="D70" t="n">
        <v>0</v>
      </c>
      <c r="E70" t="n">
        <v>0.08181099999999999</v>
      </c>
      <c r="F70" t="n">
        <v>0.135893</v>
      </c>
      <c r="G70" t="n">
        <v>0</v>
      </c>
      <c r="I70" t="n">
        <v>0.00991</v>
      </c>
      <c r="J70" t="n">
        <v>0</v>
      </c>
      <c r="K70" t="n">
        <v>0</v>
      </c>
      <c r="L70" t="n">
        <v>0.132121</v>
      </c>
      <c r="M70" t="n">
        <v>1.764912</v>
      </c>
      <c r="N70" t="n">
        <v>0</v>
      </c>
      <c r="O70" t="n">
        <v>0</v>
      </c>
      <c r="P70" t="n">
        <v>0</v>
      </c>
    </row>
    <row r="71">
      <c r="A71" s="34" t="inlineStr">
        <is>
          <t>eWOODY_FUEL_PILES_DIRTY_LOADING</t>
        </is>
      </c>
      <c r="B71" t="n">
        <v>0</v>
      </c>
      <c r="C71" t="n">
        <v>0</v>
      </c>
      <c r="D71" t="n">
        <v>0</v>
      </c>
      <c r="E71" t="n">
        <v>0</v>
      </c>
      <c r="F71" t="n">
        <v>0</v>
      </c>
      <c r="G71" t="n">
        <v>0</v>
      </c>
      <c r="I71" t="n">
        <v>0</v>
      </c>
      <c r="J71" t="n">
        <v>0</v>
      </c>
      <c r="K71" t="n">
        <v>0</v>
      </c>
      <c r="L71" t="n">
        <v>0</v>
      </c>
      <c r="M71" t="n">
        <v>0</v>
      </c>
      <c r="N71" t="n">
        <v>0</v>
      </c>
      <c r="O71" t="n">
        <v>0</v>
      </c>
      <c r="P71" t="n">
        <v>0</v>
      </c>
    </row>
    <row r="72" ht="16.5" customHeight="1" s="35">
      <c r="A72" s="34" t="inlineStr">
        <is>
          <t>eWOODY_FUEL_PILES_VERYDIRTY_LOADING</t>
        </is>
      </c>
      <c r="B72" t="n">
        <v>0</v>
      </c>
      <c r="C72" t="n">
        <v>0</v>
      </c>
      <c r="D72" t="n">
        <v>0</v>
      </c>
      <c r="E72" t="n">
        <v>0</v>
      </c>
      <c r="F72" t="n">
        <v>0</v>
      </c>
      <c r="G72" t="n">
        <v>0</v>
      </c>
      <c r="I72" t="n">
        <v>0</v>
      </c>
      <c r="J72" t="n">
        <v>0</v>
      </c>
      <c r="K72" t="n">
        <v>0</v>
      </c>
      <c r="L72" t="n">
        <v>0</v>
      </c>
      <c r="M72" t="n">
        <v>0</v>
      </c>
      <c r="N72" t="n">
        <v>0</v>
      </c>
      <c r="O72" t="n">
        <v>0</v>
      </c>
      <c r="P72" t="n">
        <v>0</v>
      </c>
    </row>
    <row r="73">
      <c r="A73" s="34" t="inlineStr">
        <is>
          <t>eLITTER_LITTER_TYPE_BROADLEAF_DECIDUOUS_RELATIVE_COVER</t>
        </is>
      </c>
      <c r="F73" t="n">
        <v>90</v>
      </c>
      <c r="I73" t="n">
        <v>30</v>
      </c>
      <c r="M73" t="n">
        <v>93</v>
      </c>
      <c r="O73" t="n">
        <v>33</v>
      </c>
    </row>
    <row r="74">
      <c r="A74" s="34" t="inlineStr">
        <is>
          <t>eLITTER_LITTER_TYPE_BROADLEAF_EVERGREEN_RELATIVE_COVER</t>
        </is>
      </c>
      <c r="C74" t="n">
        <v>100</v>
      </c>
      <c r="K74" t="n">
        <v>95</v>
      </c>
      <c r="L74" t="n">
        <v>100</v>
      </c>
      <c r="N74" t="n">
        <v>2</v>
      </c>
      <c r="O74" t="n">
        <v>33</v>
      </c>
    </row>
    <row r="75">
      <c r="A75" s="34" t="inlineStr">
        <is>
          <t>eLITTER_LITTER_TYPE_GRASS_RELATIVE_COVER</t>
        </is>
      </c>
      <c r="D75" t="n">
        <v>100</v>
      </c>
      <c r="I75" t="n">
        <v>20</v>
      </c>
      <c r="J75" t="n">
        <v>50</v>
      </c>
      <c r="K75" t="n">
        <v>5</v>
      </c>
      <c r="N75" t="n">
        <v>95</v>
      </c>
      <c r="P75" t="n">
        <v>100</v>
      </c>
    </row>
    <row r="76">
      <c r="A76" s="34" t="inlineStr">
        <is>
          <t>eLITTER_LITTER_TYPE_LONG_NEEDLE_PINE_RELATIVE_COVER</t>
        </is>
      </c>
      <c r="B76" s="1" t="n">
        <v>50</v>
      </c>
      <c r="F76" t="n">
        <v>10</v>
      </c>
      <c r="G76" t="n">
        <v>40</v>
      </c>
      <c r="I76" t="n">
        <v>25</v>
      </c>
      <c r="M76" t="n">
        <v>3</v>
      </c>
      <c r="N76" t="n">
        <v>3</v>
      </c>
      <c r="O76" t="n">
        <v>34</v>
      </c>
    </row>
    <row r="77">
      <c r="A77" s="34" t="inlineStr">
        <is>
          <t>eLITTER_LITTER_TYPE_OTHER_CONIFER_RELATIVE_COVER</t>
        </is>
      </c>
      <c r="B77" s="1" t="n">
        <v>50</v>
      </c>
      <c r="E77" t="n">
        <v>100</v>
      </c>
      <c r="I77" t="n">
        <v>25</v>
      </c>
      <c r="J77" t="n">
        <v>50</v>
      </c>
      <c r="M77" t="n">
        <v>2</v>
      </c>
    </row>
    <row r="78">
      <c r="A78" s="34" t="inlineStr">
        <is>
          <t>eLITTER_LITTER_TYPE_PALM_FROND_RELATIVE_COVER</t>
        </is>
      </c>
      <c r="G78" t="n">
        <v>60</v>
      </c>
    </row>
    <row r="79">
      <c r="A79" s="34" t="inlineStr">
        <is>
          <t>eLITTER_LITTER_TYPE_SHORT_NEEDLE_PINE_RELATIVE_COVER</t>
        </is>
      </c>
      <c r="M79" t="n">
        <v>5</v>
      </c>
    </row>
    <row r="80">
      <c r="A80" s="34" t="inlineStr">
        <is>
          <t>eMOSS_LICHEN_LITTER_GROUND_LICHEN_DEPTH</t>
        </is>
      </c>
      <c r="E80" t="n">
        <v>2</v>
      </c>
    </row>
    <row r="81">
      <c r="A81" s="34" t="inlineStr">
        <is>
          <t>eMOSS_LICHEN_LITTER_GROUND_LICHEN_PERCENT_COVER</t>
        </is>
      </c>
      <c r="E81" t="n">
        <v>5</v>
      </c>
    </row>
    <row r="82">
      <c r="A82" s="34" t="inlineStr">
        <is>
          <t>eMOSS_LICHEN_LITTER_GROUND_LICHEN_LOADING</t>
        </is>
      </c>
    </row>
    <row r="83">
      <c r="A83" s="34" t="inlineStr">
        <is>
          <t>eMOSS_LICHEN_LITTER_LITTER_DEPTH</t>
        </is>
      </c>
      <c r="B83" t="n">
        <v>0.2</v>
      </c>
      <c r="C83" t="n">
        <v>1</v>
      </c>
      <c r="D83" t="n">
        <v>2.5</v>
      </c>
      <c r="E83" t="n">
        <v>1</v>
      </c>
      <c r="F83" t="n">
        <v>1.5</v>
      </c>
      <c r="G83" t="n">
        <v>2</v>
      </c>
      <c r="I83" t="n">
        <v>0.7</v>
      </c>
      <c r="J83" t="n">
        <v>0.2</v>
      </c>
      <c r="K83" t="n">
        <v>1.2</v>
      </c>
      <c r="L83" t="n">
        <v>1.8</v>
      </c>
      <c r="M83" t="n">
        <v>2</v>
      </c>
      <c r="N83" t="n">
        <v>0.5</v>
      </c>
      <c r="O83" t="n">
        <v>2</v>
      </c>
      <c r="P83" t="n">
        <v>1.5</v>
      </c>
    </row>
    <row r="84">
      <c r="A84" s="34" t="inlineStr">
        <is>
          <t>eMOSS_LICHEN_LITTER_LITTER_PERCENT_COVER</t>
        </is>
      </c>
      <c r="B84" t="n">
        <v>70</v>
      </c>
      <c r="C84" t="n">
        <v>60</v>
      </c>
      <c r="D84" t="n">
        <v>5</v>
      </c>
      <c r="E84" t="n">
        <v>15</v>
      </c>
      <c r="F84" t="n">
        <v>90</v>
      </c>
      <c r="G84" t="n">
        <v>70</v>
      </c>
      <c r="I84" t="n">
        <v>90</v>
      </c>
      <c r="J84" t="n">
        <v>10</v>
      </c>
      <c r="K84" t="n">
        <v>34</v>
      </c>
      <c r="L84" t="n">
        <v>98</v>
      </c>
      <c r="M84" t="n">
        <v>90</v>
      </c>
      <c r="N84" t="n">
        <v>90</v>
      </c>
      <c r="O84" t="n">
        <v>50</v>
      </c>
      <c r="P84" t="n">
        <v>90</v>
      </c>
    </row>
    <row r="85">
      <c r="A85" s="34" t="inlineStr">
        <is>
          <t>eMOSS_LICHEN_LITTER_LITTER_LOADING</t>
        </is>
      </c>
    </row>
    <row r="86">
      <c r="A86" s="34" t="inlineStr">
        <is>
          <t>eMOSS_LICHEN_LITTER_MOSS_DEPTH</t>
        </is>
      </c>
      <c r="E86" t="n">
        <v>2.5</v>
      </c>
      <c r="F86" t="n">
        <v>1</v>
      </c>
      <c r="I86" t="n">
        <v>0.2</v>
      </c>
      <c r="O86" t="n">
        <v>2</v>
      </c>
    </row>
    <row r="87">
      <c r="A87" s="34" t="inlineStr">
        <is>
          <t>eMOSS_LICHEN_LITTER_MOSS_PERCENT_COVER</t>
        </is>
      </c>
      <c r="E87" t="n">
        <v>80</v>
      </c>
      <c r="F87" t="n">
        <v>5</v>
      </c>
      <c r="I87" t="n">
        <v>1.5</v>
      </c>
      <c r="O87" t="n">
        <v>5</v>
      </c>
    </row>
    <row r="88">
      <c r="A88" s="34" t="inlineStr">
        <is>
          <t>eMOSS_LICHEN_LITTER_MOSS_LOADING</t>
        </is>
      </c>
    </row>
    <row r="89">
      <c r="A89" s="34" t="inlineStr">
        <is>
          <t>eGROUND_FUEL_DUFF_LOWER_DEPTH</t>
        </is>
      </c>
      <c r="C89" t="n">
        <v>0.2</v>
      </c>
      <c r="E89" t="n">
        <v>2</v>
      </c>
      <c r="O89" t="n">
        <v>5</v>
      </c>
      <c r="P89" t="n">
        <v>6</v>
      </c>
    </row>
    <row r="90">
      <c r="A90" s="34" t="inlineStr">
        <is>
          <t>eGROUND_FUEL_DUFF_LOWER_PERCENT_COVER</t>
        </is>
      </c>
      <c r="C90" t="n">
        <v>60</v>
      </c>
      <c r="E90" t="n">
        <v>90</v>
      </c>
      <c r="O90" t="n">
        <v>100</v>
      </c>
      <c r="P90" t="n">
        <v>50</v>
      </c>
    </row>
    <row r="91">
      <c r="A91" s="34" t="inlineStr">
        <is>
          <t>eGROUND_FUEL_DUFF_LOWER_LOADING</t>
        </is>
      </c>
    </row>
    <row r="92">
      <c r="A92" s="34" t="inlineStr">
        <is>
          <t>eGROUND_FUEL_DUFF_UPPER_DEPTH</t>
        </is>
      </c>
      <c r="B92" t="n">
        <v>0.5</v>
      </c>
      <c r="C92" t="n">
        <v>0.4</v>
      </c>
      <c r="D92" t="n">
        <v>0.2</v>
      </c>
      <c r="E92" t="n">
        <v>4</v>
      </c>
      <c r="F92" t="n">
        <v>1</v>
      </c>
      <c r="G92" t="n">
        <v>1.5</v>
      </c>
      <c r="I92" t="n">
        <v>2</v>
      </c>
      <c r="J92" t="n">
        <v>0.2</v>
      </c>
      <c r="L92" t="n">
        <v>1.7</v>
      </c>
      <c r="M92" t="n">
        <v>0.7</v>
      </c>
      <c r="N92" t="n">
        <v>0.5</v>
      </c>
      <c r="O92" t="n">
        <v>5</v>
      </c>
      <c r="P92" t="n">
        <v>6</v>
      </c>
    </row>
    <row r="93">
      <c r="A93" s="34" t="inlineStr">
        <is>
          <t>eGROUND_FUEL_DUFF_UPPER_PERCENT_COVER</t>
        </is>
      </c>
      <c r="B93" t="n">
        <v>70</v>
      </c>
      <c r="C93" t="n">
        <v>60</v>
      </c>
      <c r="D93" t="n">
        <v>70</v>
      </c>
      <c r="E93" t="n">
        <v>100</v>
      </c>
      <c r="F93" t="n">
        <v>90</v>
      </c>
      <c r="G93" t="n">
        <v>70</v>
      </c>
      <c r="I93" t="n">
        <v>80</v>
      </c>
      <c r="J93" t="n">
        <v>10</v>
      </c>
      <c r="L93" t="n">
        <v>98</v>
      </c>
      <c r="M93" t="n">
        <v>85</v>
      </c>
      <c r="N93" t="n">
        <v>20</v>
      </c>
      <c r="O93" t="n">
        <v>80</v>
      </c>
      <c r="P93" t="n">
        <v>50</v>
      </c>
    </row>
    <row r="94">
      <c r="A94" s="34" t="inlineStr">
        <is>
          <t>eGROUND_FUEL_DUFF_UPPER_LOADING</t>
        </is>
      </c>
    </row>
    <row r="95">
      <c r="A95" s="34" t="inlineStr">
        <is>
          <t>eGROUND_FUEL_BASAL_ACCUMULATION_DEPTH</t>
        </is>
      </c>
      <c r="I95" t="n">
        <v>2</v>
      </c>
      <c r="J95" t="n">
        <v>0.8</v>
      </c>
      <c r="L95" t="n">
        <v>3</v>
      </c>
      <c r="M95" t="n">
        <v>5</v>
      </c>
    </row>
    <row r="96">
      <c r="A96" s="34" t="inlineStr">
        <is>
          <t>eGROUND_FUEL_BASAL_ACCUMULATION_NUMBER_PER_UNIT_AREA</t>
        </is>
      </c>
      <c r="I96" t="n">
        <v>2.55</v>
      </c>
      <c r="J96" t="n">
        <v>0.72</v>
      </c>
      <c r="L96" t="n">
        <v>3</v>
      </c>
      <c r="M96" t="n">
        <v>1.5</v>
      </c>
    </row>
    <row r="97">
      <c r="A97" s="34" t="inlineStr">
        <is>
          <t>eGROUND_FUEL_BASAL_ACCUMULATION_RADIUS</t>
        </is>
      </c>
      <c r="I97" t="n">
        <v>0.5</v>
      </c>
      <c r="J97" t="n">
        <v>2.5</v>
      </c>
      <c r="L97" t="n">
        <v>0.66</v>
      </c>
      <c r="M97" t="n">
        <v>0.75</v>
      </c>
    </row>
    <row r="98">
      <c r="A98" s="34" t="inlineStr">
        <is>
          <t>eGROUND_FUEL_BASAL_ACCUMULATION_LOADING</t>
        </is>
      </c>
    </row>
    <row r="99">
      <c r="A99" s="34" t="inlineStr">
        <is>
          <t>eGROUND_FUEL_SQUIRREL_MIDDENS_DEPTH</t>
        </is>
      </c>
      <c r="E99" t="n">
        <v>18</v>
      </c>
    </row>
    <row r="100">
      <c r="A100" s="34" t="inlineStr">
        <is>
          <t>eGROUND_FUEL_SQUIRREL_MIDDENS_NUMBER_PER_UNIT_AREA</t>
        </is>
      </c>
      <c r="E100" t="n">
        <v>1</v>
      </c>
    </row>
    <row r="101">
      <c r="A101" s="34" t="inlineStr">
        <is>
          <t>eGROUND_FUEL_SQUIRREL_MIDDENS_RADIUS</t>
        </is>
      </c>
      <c r="E101" t="n">
        <v>5</v>
      </c>
    </row>
    <row r="102">
      <c r="A102" s="34" t="inlineStr">
        <is>
          <t>eGROUND_FUEL_SQUIRREL_MIDDENS_LOADING</t>
        </is>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AC93"/>
  <sheetViews>
    <sheetView topLeftCell="A62" zoomScale="75" zoomScaleNormal="75" workbookViewId="0">
      <selection activeCell="A86" sqref="A86"/>
    </sheetView>
  </sheetViews>
  <sheetFormatPr baseColWidth="8" defaultRowHeight="15"/>
  <cols>
    <col width="131.140625" bestFit="1" customWidth="1" style="35" min="1" max="1"/>
    <col width="27.42578125" bestFit="1" customWidth="1" style="35" min="2" max="2"/>
    <col width="26.28515625" bestFit="1" customWidth="1" style="35" min="3" max="3"/>
    <col width="22" bestFit="1" customWidth="1" style="35" min="4" max="5"/>
    <col width="14" bestFit="1" customWidth="1" style="35" min="6" max="6"/>
    <col width="18.5703125" bestFit="1" customWidth="1" style="35" min="7" max="9"/>
    <col width="14" bestFit="1" customWidth="1" style="35" min="10" max="10"/>
    <col width="18.5703125" bestFit="1" customWidth="1" style="35" min="11" max="13"/>
    <col width="14" bestFit="1" customWidth="1" style="35" min="14" max="14"/>
    <col width="18.5703125" bestFit="1" customWidth="1" style="35" min="15" max="17"/>
    <col width="14" bestFit="1" customWidth="1" style="35" min="18" max="18"/>
    <col width="18.5703125" bestFit="1" customWidth="1" style="35" min="19" max="21"/>
    <col width="14" bestFit="1" customWidth="1" style="35" min="22" max="22"/>
    <col width="18.5703125" bestFit="1" customWidth="1" style="35" min="23" max="25"/>
    <col width="14" bestFit="1" customWidth="1" style="35" min="26" max="26"/>
    <col width="18.5703125" bestFit="1" customWidth="1" style="35" min="27" max="29"/>
  </cols>
  <sheetData>
    <row r="1" customFormat="1" s="13">
      <c r="A1" s="14" t="inlineStr">
        <is>
          <t>Variable</t>
        </is>
      </c>
      <c r="B1" s="1" t="inlineStr">
        <is>
          <t>Suggested Short Name</t>
        </is>
      </c>
      <c r="C1" s="28" t="inlineStr">
        <is>
          <t>Time Step 1 (211) Rules</t>
        </is>
      </c>
      <c r="D1" s="3" t="inlineStr">
        <is>
          <t>Time Step 2 (212) Rules</t>
        </is>
      </c>
      <c r="E1" s="3" t="inlineStr">
        <is>
          <t>Time Step 3 (213) Rules</t>
        </is>
      </c>
      <c r="F1" s="13" t="inlineStr">
        <is>
          <t>FB_0029_FCCS</t>
        </is>
      </c>
      <c r="G1" t="inlineStr">
        <is>
          <t>FB_0029_FCCS_211</t>
        </is>
      </c>
      <c r="H1" t="inlineStr">
        <is>
          <t>FB_0029_FCCS_212</t>
        </is>
      </c>
      <c r="I1" t="inlineStr">
        <is>
          <t>FB_0029_FCCS_213</t>
        </is>
      </c>
      <c r="J1" t="inlineStr">
        <is>
          <t>FB_0046_FCCS</t>
        </is>
      </c>
      <c r="K1" t="inlineStr">
        <is>
          <t>FB_0046_FCCS_211</t>
        </is>
      </c>
      <c r="L1" t="inlineStr">
        <is>
          <t>FB_0046_FCCS_212</t>
        </is>
      </c>
      <c r="M1" t="inlineStr">
        <is>
          <t>FB_0046_FCCS_213</t>
        </is>
      </c>
      <c r="N1" t="inlineStr">
        <is>
          <t>FB_0066_FCCS</t>
        </is>
      </c>
      <c r="O1" t="inlineStr">
        <is>
          <t>FB_0066_FCCS_211</t>
        </is>
      </c>
      <c r="P1" t="inlineStr">
        <is>
          <t>FB_0066_FCCS_212</t>
        </is>
      </c>
      <c r="Q1" t="inlineStr">
        <is>
          <t>FB_0066_FCCS_213</t>
        </is>
      </c>
      <c r="R1" t="inlineStr">
        <is>
          <t>FB_0087_FCCS</t>
        </is>
      </c>
      <c r="S1" t="inlineStr">
        <is>
          <t>FB_0087_FCCS_211</t>
        </is>
      </c>
      <c r="T1" t="inlineStr">
        <is>
          <t>FB_0087_FCCS_212</t>
        </is>
      </c>
      <c r="U1" t="inlineStr">
        <is>
          <t>FB_0087_FCCS_213</t>
        </is>
      </c>
      <c r="V1" t="inlineStr">
        <is>
          <t>FB_0109_FCCS</t>
        </is>
      </c>
      <c r="W1" t="inlineStr">
        <is>
          <t>FB_0109_FCCS_211</t>
        </is>
      </c>
      <c r="X1" t="inlineStr">
        <is>
          <t>FB_0109_FCCS_212</t>
        </is>
      </c>
      <c r="Y1" t="inlineStr">
        <is>
          <t>FB_0109_FCCS_213</t>
        </is>
      </c>
      <c r="Z1" t="inlineStr">
        <is>
          <t>FB_0291_FCCS</t>
        </is>
      </c>
      <c r="AA1" t="inlineStr">
        <is>
          <t>FB_0291_FCCS_211</t>
        </is>
      </c>
      <c r="AB1" t="inlineStr">
        <is>
          <t>FB_0291_FCCS_212</t>
        </is>
      </c>
      <c r="AC1" t="inlineStr">
        <is>
          <t>FB_0291_FCCS_213</t>
        </is>
      </c>
    </row>
    <row r="2" customFormat="1" s="39">
      <c r="A2" s="34">
        <f>'2_MechAdd_Script'!A2</f>
        <v/>
      </c>
      <c r="B2" t="inlineStr">
        <is>
          <t>Canopy_TotalCover</t>
        </is>
      </c>
      <c r="C2" s="4" t="n">
        <v>0.85</v>
      </c>
      <c r="D2" s="5" t="n"/>
      <c r="E2" s="32" t="n"/>
      <c r="F2" s="39" t="n">
        <v>40</v>
      </c>
      <c r="G2" s="12">
        <f>$C2*F2</f>
        <v/>
      </c>
      <c r="H2" s="15">
        <f>G2</f>
        <v/>
      </c>
      <c r="I2" s="16">
        <f>H2</f>
        <v/>
      </c>
      <c r="K2" s="12">
        <f>$C2*J2</f>
        <v/>
      </c>
      <c r="L2" s="15">
        <f>K2</f>
        <v/>
      </c>
      <c r="M2" s="16">
        <f>L2</f>
        <v/>
      </c>
      <c r="O2" s="12">
        <f>$C2*N2</f>
        <v/>
      </c>
      <c r="P2" s="15">
        <f>O2</f>
        <v/>
      </c>
      <c r="Q2" s="16">
        <f>P2</f>
        <v/>
      </c>
      <c r="R2" s="39" t="n">
        <v>80</v>
      </c>
      <c r="S2" s="12">
        <f>$C2*R2</f>
        <v/>
      </c>
      <c r="T2" s="15">
        <f>S2</f>
        <v/>
      </c>
      <c r="U2" s="16">
        <f>T2</f>
        <v/>
      </c>
      <c r="V2" s="39" t="n">
        <v>85</v>
      </c>
      <c r="W2" s="12">
        <f>$C2*V2</f>
        <v/>
      </c>
      <c r="X2" s="15">
        <f>W2</f>
        <v/>
      </c>
      <c r="Y2" s="16">
        <f>X2</f>
        <v/>
      </c>
      <c r="Z2" s="39" t="n">
        <v>60</v>
      </c>
      <c r="AA2" s="12">
        <f>$C2*Z2</f>
        <v/>
      </c>
      <c r="AB2" s="15">
        <f>AA2</f>
        <v/>
      </c>
      <c r="AC2" s="16">
        <f>AB2</f>
        <v/>
      </c>
    </row>
    <row r="3" customFormat="1" s="39">
      <c r="A3" s="34">
        <f>'2_MechAdd_Script'!A3</f>
        <v/>
      </c>
      <c r="B3" t="inlineStr">
        <is>
          <t>OTree_Diameter</t>
        </is>
      </c>
      <c r="C3" s="4" t="n">
        <v>1.1</v>
      </c>
      <c r="D3" s="5" t="n"/>
      <c r="E3" s="32" t="n"/>
      <c r="F3" s="39" t="n">
        <v>9.6</v>
      </c>
      <c r="G3" s="12">
        <f>$C3*F3</f>
        <v/>
      </c>
      <c r="H3" s="15">
        <f>G3</f>
        <v/>
      </c>
      <c r="I3" s="16">
        <f>H3</f>
        <v/>
      </c>
      <c r="K3" s="12">
        <f>$C3*J3</f>
        <v/>
      </c>
      <c r="L3" s="15">
        <f>K3</f>
        <v/>
      </c>
      <c r="M3" s="16">
        <f>L3</f>
        <v/>
      </c>
      <c r="O3" s="12">
        <f>$C3*N3</f>
        <v/>
      </c>
      <c r="P3" s="15">
        <f>O3</f>
        <v/>
      </c>
      <c r="Q3" s="16">
        <f>P3</f>
        <v/>
      </c>
      <c r="R3" s="39" t="n">
        <v>2.9</v>
      </c>
      <c r="S3" s="12">
        <f>$C3*R3</f>
        <v/>
      </c>
      <c r="T3" s="15">
        <f>S3</f>
        <v/>
      </c>
      <c r="U3" s="16">
        <f>T3</f>
        <v/>
      </c>
      <c r="V3" s="39" t="n">
        <v>14</v>
      </c>
      <c r="W3" s="12">
        <f>$C3*V3</f>
        <v/>
      </c>
      <c r="X3" s="15">
        <f>W3</f>
        <v/>
      </c>
      <c r="Y3" s="16">
        <f>X3</f>
        <v/>
      </c>
      <c r="Z3" s="39" t="n">
        <v>12</v>
      </c>
      <c r="AA3" s="12">
        <f>$C3*Z3</f>
        <v/>
      </c>
      <c r="AB3" s="15">
        <f>AA3</f>
        <v/>
      </c>
      <c r="AC3" s="16">
        <f>AB3</f>
        <v/>
      </c>
    </row>
    <row r="4" customFormat="1" s="39">
      <c r="A4" s="34">
        <f>'2_MechAdd_Script'!A4</f>
        <v/>
      </c>
      <c r="B4" t="inlineStr">
        <is>
          <t>OTree_HeightLiveCrown</t>
        </is>
      </c>
      <c r="C4" s="4" t="n">
        <v>1.25</v>
      </c>
      <c r="D4" s="5" t="n"/>
      <c r="E4" s="32" t="n"/>
      <c r="F4" s="39" t="n">
        <v>20</v>
      </c>
      <c r="G4" s="12">
        <f>$C4*F4</f>
        <v/>
      </c>
      <c r="H4" s="15">
        <f>G4</f>
        <v/>
      </c>
      <c r="I4" s="16">
        <f>H4</f>
        <v/>
      </c>
      <c r="K4" s="12">
        <f>$C4*J4</f>
        <v/>
      </c>
      <c r="L4" s="15">
        <f>K4</f>
        <v/>
      </c>
      <c r="M4" s="16">
        <f>L4</f>
        <v/>
      </c>
      <c r="O4" s="12">
        <f>$C4*N4</f>
        <v/>
      </c>
      <c r="P4" s="15">
        <f>O4</f>
        <v/>
      </c>
      <c r="Q4" s="16">
        <f>P4</f>
        <v/>
      </c>
      <c r="R4" s="39" t="n">
        <v>4</v>
      </c>
      <c r="S4" s="12">
        <f>$C4*R4</f>
        <v/>
      </c>
      <c r="T4" s="15">
        <f>S4</f>
        <v/>
      </c>
      <c r="U4" s="16">
        <f>T4</f>
        <v/>
      </c>
      <c r="V4" s="39" t="n">
        <v>20</v>
      </c>
      <c r="W4" s="12">
        <f>$C4*V4</f>
        <v/>
      </c>
      <c r="X4" s="15">
        <f>W4</f>
        <v/>
      </c>
      <c r="Y4" s="16">
        <f>X4</f>
        <v/>
      </c>
      <c r="Z4" s="39" t="n">
        <v>55</v>
      </c>
      <c r="AA4" s="12">
        <f>$C4*Z4</f>
        <v/>
      </c>
      <c r="AB4" s="15">
        <f>AA4</f>
        <v/>
      </c>
      <c r="AC4" s="16">
        <f>AB4</f>
        <v/>
      </c>
    </row>
    <row r="5" customFormat="1" s="39">
      <c r="A5" s="34">
        <f>'2_MechAdd_Script'!A5</f>
        <v/>
      </c>
      <c r="B5" t="inlineStr">
        <is>
          <t>OTree_Height</t>
        </is>
      </c>
      <c r="C5" s="4" t="n"/>
      <c r="D5" s="5" t="n"/>
      <c r="E5" s="32" t="n"/>
      <c r="F5" s="39" t="n">
        <v>100</v>
      </c>
      <c r="G5" s="12">
        <f>F5</f>
        <v/>
      </c>
      <c r="H5" s="15">
        <f>G5</f>
        <v/>
      </c>
      <c r="I5" s="16">
        <f>H5</f>
        <v/>
      </c>
      <c r="K5" s="12">
        <f>J5</f>
        <v/>
      </c>
      <c r="L5" s="15">
        <f>K5</f>
        <v/>
      </c>
      <c r="M5" s="16">
        <f>L5</f>
        <v/>
      </c>
      <c r="O5" s="12">
        <f>N5</f>
        <v/>
      </c>
      <c r="P5" s="15">
        <f>O5</f>
        <v/>
      </c>
      <c r="Q5" s="16">
        <f>P5</f>
        <v/>
      </c>
      <c r="R5" s="39" t="n">
        <v>25</v>
      </c>
      <c r="S5" s="12">
        <f>R5</f>
        <v/>
      </c>
      <c r="T5" s="15">
        <f>S5</f>
        <v/>
      </c>
      <c r="U5" s="16">
        <f>T5</f>
        <v/>
      </c>
      <c r="V5" s="39" t="n">
        <v>60</v>
      </c>
      <c r="W5" s="12">
        <f>V5</f>
        <v/>
      </c>
      <c r="X5" s="15">
        <f>W5</f>
        <v/>
      </c>
      <c r="Y5" s="16">
        <f>X5</f>
        <v/>
      </c>
      <c r="Z5" s="39" t="n">
        <v>78</v>
      </c>
      <c r="AA5" s="12">
        <f>Z5</f>
        <v/>
      </c>
      <c r="AB5" s="15">
        <f>AA5</f>
        <v/>
      </c>
      <c r="AC5" s="16">
        <f>AB5</f>
        <v/>
      </c>
    </row>
    <row r="6" customFormat="1" s="39">
      <c r="A6" s="34">
        <f>'2_MechAdd_Script'!A6</f>
        <v/>
      </c>
      <c r="B6" t="inlineStr">
        <is>
          <t>OTree_Cover</t>
        </is>
      </c>
      <c r="C6" s="4" t="n">
        <v>0.75</v>
      </c>
      <c r="D6" s="5" t="n"/>
      <c r="E6" s="32" t="n"/>
      <c r="F6" s="39" t="n">
        <v>40</v>
      </c>
      <c r="G6" s="12">
        <f>$C6*F6</f>
        <v/>
      </c>
      <c r="H6" s="15">
        <f>G6</f>
        <v/>
      </c>
      <c r="I6" s="16">
        <f>H6</f>
        <v/>
      </c>
      <c r="K6" s="12">
        <f>$C6*J6</f>
        <v/>
      </c>
      <c r="L6" s="15">
        <f>K6</f>
        <v/>
      </c>
      <c r="M6" s="16">
        <f>L6</f>
        <v/>
      </c>
      <c r="O6" s="12">
        <f>$C6*N6</f>
        <v/>
      </c>
      <c r="P6" s="15">
        <f>O6</f>
        <v/>
      </c>
      <c r="Q6" s="16">
        <f>P6</f>
        <v/>
      </c>
      <c r="R6" s="39" t="n">
        <v>80</v>
      </c>
      <c r="S6" s="12">
        <f>$C6*R6</f>
        <v/>
      </c>
      <c r="T6" s="15">
        <f>S6</f>
        <v/>
      </c>
      <c r="U6" s="16">
        <f>T6</f>
        <v/>
      </c>
      <c r="V6" s="39" t="n">
        <v>50</v>
      </c>
      <c r="W6" s="12">
        <f>$C6*V6</f>
        <v/>
      </c>
      <c r="X6" s="15">
        <f>W6</f>
        <v/>
      </c>
      <c r="Y6" s="16">
        <f>X6</f>
        <v/>
      </c>
      <c r="Z6" s="39" t="n">
        <v>50</v>
      </c>
      <c r="AA6" s="12">
        <f>$C6*Z6</f>
        <v/>
      </c>
      <c r="AB6" s="15">
        <f>AA6</f>
        <v/>
      </c>
      <c r="AC6" s="16">
        <f>AB6</f>
        <v/>
      </c>
    </row>
    <row r="7" customFormat="1" s="39">
      <c r="A7" s="34">
        <f>'2_MechAdd_Script'!A7</f>
        <v/>
      </c>
      <c r="B7" t="inlineStr">
        <is>
          <t>OTree_Density</t>
        </is>
      </c>
      <c r="C7" s="4" t="n">
        <v>0.75</v>
      </c>
      <c r="D7" s="5" t="n"/>
      <c r="E7" s="32" t="n"/>
      <c r="F7" s="39" t="n">
        <v>12</v>
      </c>
      <c r="G7" s="12">
        <f>$C7*F7</f>
        <v/>
      </c>
      <c r="H7" s="15">
        <f>G7</f>
        <v/>
      </c>
      <c r="I7" s="16">
        <f>H7</f>
        <v/>
      </c>
      <c r="K7" s="12">
        <f>$C7*J7</f>
        <v/>
      </c>
      <c r="L7" s="15">
        <f>K7</f>
        <v/>
      </c>
      <c r="M7" s="16">
        <f>L7</f>
        <v/>
      </c>
      <c r="O7" s="12">
        <f>$C7*N7</f>
        <v/>
      </c>
      <c r="P7" s="15">
        <f>O7</f>
        <v/>
      </c>
      <c r="Q7" s="16">
        <f>P7</f>
        <v/>
      </c>
      <c r="R7" s="39" t="n">
        <v>3500</v>
      </c>
      <c r="S7" s="12">
        <f>$C7*R7</f>
        <v/>
      </c>
      <c r="T7" s="15">
        <f>S7</f>
        <v/>
      </c>
      <c r="U7" s="16">
        <f>T7</f>
        <v/>
      </c>
      <c r="V7" s="39" t="n">
        <v>45</v>
      </c>
      <c r="W7" s="12">
        <f>$C7*V7</f>
        <v/>
      </c>
      <c r="X7" s="15">
        <f>W7</f>
        <v/>
      </c>
      <c r="Y7" s="16">
        <f>X7</f>
        <v/>
      </c>
      <c r="Z7" s="39" t="n">
        <v>100</v>
      </c>
      <c r="AA7" s="12">
        <f>$C7*Z7</f>
        <v/>
      </c>
      <c r="AB7" s="15">
        <f>AA7</f>
        <v/>
      </c>
      <c r="AC7" s="16">
        <f>AB7</f>
        <v/>
      </c>
    </row>
    <row r="8" customFormat="1" s="39">
      <c r="A8" s="34">
        <f>'2_MechAdd_Script'!A8</f>
        <v/>
      </c>
      <c r="B8" t="inlineStr">
        <is>
          <t>MTree_Diameter</t>
        </is>
      </c>
      <c r="C8" s="4" t="n">
        <v>1.1</v>
      </c>
      <c r="D8" s="5" t="n"/>
      <c r="E8" s="32" t="n"/>
      <c r="G8" s="12">
        <f>$C8*F8</f>
        <v/>
      </c>
      <c r="H8" s="15">
        <f>G8</f>
        <v/>
      </c>
      <c r="I8" s="16">
        <f>H8</f>
        <v/>
      </c>
      <c r="K8" s="12">
        <f>$C8*J8</f>
        <v/>
      </c>
      <c r="L8" s="15">
        <f>K8</f>
        <v/>
      </c>
      <c r="M8" s="16">
        <f>L8</f>
        <v/>
      </c>
      <c r="O8" s="12">
        <f>$C8*N8</f>
        <v/>
      </c>
      <c r="P8" s="15">
        <f>O8</f>
        <v/>
      </c>
      <c r="Q8" s="16">
        <f>P8</f>
        <v/>
      </c>
      <c r="S8" s="12">
        <f>$C8*R8</f>
        <v/>
      </c>
      <c r="T8" s="15">
        <f>S8</f>
        <v/>
      </c>
      <c r="U8" s="16">
        <f>T8</f>
        <v/>
      </c>
      <c r="V8" s="39" t="n">
        <v>7.5</v>
      </c>
      <c r="W8" s="12">
        <f>$C8*V8</f>
        <v/>
      </c>
      <c r="X8" s="15">
        <f>W8</f>
        <v/>
      </c>
      <c r="Y8" s="16">
        <f>X8</f>
        <v/>
      </c>
      <c r="AA8" s="12">
        <f>$C8*Z8</f>
        <v/>
      </c>
      <c r="AB8" s="15">
        <f>AA8</f>
        <v/>
      </c>
      <c r="AC8" s="16">
        <f>AB8</f>
        <v/>
      </c>
    </row>
    <row r="9" customFormat="1" s="39">
      <c r="A9" s="34">
        <f>'2_MechAdd_Script'!A9</f>
        <v/>
      </c>
      <c r="B9" t="inlineStr">
        <is>
          <t>MTree_HeightLiveCrown</t>
        </is>
      </c>
      <c r="C9" s="4" t="n">
        <v>1.25</v>
      </c>
      <c r="D9" s="5" t="n"/>
      <c r="E9" s="32" t="n"/>
      <c r="G9" s="12">
        <f>$C9*F9</f>
        <v/>
      </c>
      <c r="H9" s="15">
        <f>G9</f>
        <v/>
      </c>
      <c r="I9" s="16">
        <f>H9</f>
        <v/>
      </c>
      <c r="K9" s="12">
        <f>$C9*J9</f>
        <v/>
      </c>
      <c r="L9" s="15">
        <f>K9</f>
        <v/>
      </c>
      <c r="M9" s="16">
        <f>L9</f>
        <v/>
      </c>
      <c r="O9" s="12">
        <f>$C9*N9</f>
        <v/>
      </c>
      <c r="P9" s="15">
        <f>O9</f>
        <v/>
      </c>
      <c r="Q9" s="16">
        <f>P9</f>
        <v/>
      </c>
      <c r="S9" s="12">
        <f>$C9*R9</f>
        <v/>
      </c>
      <c r="T9" s="15">
        <f>S9</f>
        <v/>
      </c>
      <c r="U9" s="16">
        <f>T9</f>
        <v/>
      </c>
      <c r="V9" s="39" t="n">
        <v>10</v>
      </c>
      <c r="W9" s="12">
        <f>$C9*V9</f>
        <v/>
      </c>
      <c r="X9" s="15">
        <f>W9</f>
        <v/>
      </c>
      <c r="Y9" s="16">
        <f>X9</f>
        <v/>
      </c>
      <c r="AA9" s="12">
        <f>$C9*Z9</f>
        <v/>
      </c>
      <c r="AB9" s="15">
        <f>AA9</f>
        <v/>
      </c>
      <c r="AC9" s="16">
        <f>AB9</f>
        <v/>
      </c>
    </row>
    <row r="10" customFormat="1" s="39">
      <c r="A10" s="34">
        <f>'2_MechAdd_Script'!A10</f>
        <v/>
      </c>
      <c r="B10" t="inlineStr">
        <is>
          <t>MTree_Height</t>
        </is>
      </c>
      <c r="C10" s="4" t="n"/>
      <c r="D10" s="5" t="n"/>
      <c r="E10" s="32" t="n"/>
      <c r="G10" s="12">
        <f>F10</f>
        <v/>
      </c>
      <c r="H10" s="15">
        <f>G10</f>
        <v/>
      </c>
      <c r="I10" s="16">
        <f>H10</f>
        <v/>
      </c>
      <c r="K10" s="12">
        <f>J10</f>
        <v/>
      </c>
      <c r="L10" s="15">
        <f>K10</f>
        <v/>
      </c>
      <c r="M10" s="16">
        <f>L10</f>
        <v/>
      </c>
      <c r="O10" s="12">
        <f>N10</f>
        <v/>
      </c>
      <c r="P10" s="15">
        <f>O10</f>
        <v/>
      </c>
      <c r="Q10" s="16">
        <f>P10</f>
        <v/>
      </c>
      <c r="S10" s="12">
        <f>R10</f>
        <v/>
      </c>
      <c r="T10" s="15">
        <f>S10</f>
        <v/>
      </c>
      <c r="U10" s="16">
        <f>T10</f>
        <v/>
      </c>
      <c r="V10" s="39" t="n">
        <v>44</v>
      </c>
      <c r="W10" s="12">
        <f>V10</f>
        <v/>
      </c>
      <c r="X10" s="15">
        <f>W10</f>
        <v/>
      </c>
      <c r="Y10" s="16">
        <f>X10</f>
        <v/>
      </c>
      <c r="AA10" s="12">
        <f>Z10</f>
        <v/>
      </c>
      <c r="AB10" s="15">
        <f>AA10</f>
        <v/>
      </c>
      <c r="AC10" s="16">
        <f>AB10</f>
        <v/>
      </c>
    </row>
    <row r="11" customFormat="1" s="39">
      <c r="A11" s="34">
        <f>'2_MechAdd_Script'!A11</f>
        <v/>
      </c>
      <c r="B11" t="inlineStr">
        <is>
          <t>MTree_Cover</t>
        </is>
      </c>
      <c r="C11" s="4" t="n">
        <v>0.75</v>
      </c>
      <c r="D11" s="5" t="n"/>
      <c r="E11" s="32" t="n"/>
      <c r="G11" s="12">
        <f>$C11*F11</f>
        <v/>
      </c>
      <c r="H11" s="15">
        <f>G11</f>
        <v/>
      </c>
      <c r="I11" s="16">
        <f>H11</f>
        <v/>
      </c>
      <c r="K11" s="12">
        <f>$C11*J11</f>
        <v/>
      </c>
      <c r="L11" s="15">
        <f>K11</f>
        <v/>
      </c>
      <c r="M11" s="16">
        <f>L11</f>
        <v/>
      </c>
      <c r="O11" s="12">
        <f>$C11*N11</f>
        <v/>
      </c>
      <c r="P11" s="15">
        <f>O11</f>
        <v/>
      </c>
      <c r="Q11" s="16">
        <f>P11</f>
        <v/>
      </c>
      <c r="S11" s="12">
        <f>$C11*R11</f>
        <v/>
      </c>
      <c r="T11" s="15">
        <f>S11</f>
        <v/>
      </c>
      <c r="U11" s="16">
        <f>T11</f>
        <v/>
      </c>
      <c r="V11" s="39" t="n">
        <v>50</v>
      </c>
      <c r="W11" s="12">
        <f>$C11*V11</f>
        <v/>
      </c>
      <c r="X11" s="15">
        <f>W11</f>
        <v/>
      </c>
      <c r="Y11" s="16">
        <f>X11</f>
        <v/>
      </c>
      <c r="AA11" s="12">
        <f>$C11*Z11</f>
        <v/>
      </c>
      <c r="AB11" s="15">
        <f>AA11</f>
        <v/>
      </c>
      <c r="AC11" s="16">
        <f>AB11</f>
        <v/>
      </c>
    </row>
    <row r="12" customFormat="1" s="39">
      <c r="A12" s="34">
        <f>'2_MechAdd_Script'!A12</f>
        <v/>
      </c>
      <c r="B12" t="inlineStr">
        <is>
          <t>MTree_Density</t>
        </is>
      </c>
      <c r="C12" s="4" t="n">
        <v>0.75</v>
      </c>
      <c r="D12" s="5" t="n"/>
      <c r="E12" s="32" t="n"/>
      <c r="G12" s="12">
        <f>$C12*F12</f>
        <v/>
      </c>
      <c r="H12" s="15">
        <f>G12</f>
        <v/>
      </c>
      <c r="I12" s="16">
        <f>H12</f>
        <v/>
      </c>
      <c r="K12" s="12">
        <f>$C12*J12</f>
        <v/>
      </c>
      <c r="L12" s="15">
        <f>K12</f>
        <v/>
      </c>
      <c r="M12" s="16">
        <f>L12</f>
        <v/>
      </c>
      <c r="O12" s="12">
        <f>$C12*N12</f>
        <v/>
      </c>
      <c r="P12" s="15">
        <f>O12</f>
        <v/>
      </c>
      <c r="Q12" s="16">
        <f>P12</f>
        <v/>
      </c>
      <c r="S12" s="12">
        <f>$C12*R12</f>
        <v/>
      </c>
      <c r="T12" s="15">
        <f>S12</f>
        <v/>
      </c>
      <c r="U12" s="16">
        <f>T12</f>
        <v/>
      </c>
      <c r="V12" s="39" t="n">
        <v>150</v>
      </c>
      <c r="W12" s="12">
        <f>$C12*V12</f>
        <v/>
      </c>
      <c r="X12" s="15">
        <f>W12</f>
        <v/>
      </c>
      <c r="Y12" s="16">
        <f>X12</f>
        <v/>
      </c>
      <c r="AA12" s="12">
        <f>$C12*Z12</f>
        <v/>
      </c>
      <c r="AB12" s="15">
        <f>AA12</f>
        <v/>
      </c>
      <c r="AC12" s="16">
        <f>AB12</f>
        <v/>
      </c>
    </row>
    <row r="13" customFormat="1" s="39">
      <c r="A13" s="34">
        <f>'2_MechAdd_Script'!A13</f>
        <v/>
      </c>
      <c r="B13" t="inlineStr">
        <is>
          <t>UTree_Diameter</t>
        </is>
      </c>
      <c r="C13" s="4" t="n"/>
      <c r="D13" s="5" t="n"/>
      <c r="E13" s="32" t="n"/>
      <c r="G13" s="12">
        <f>F13</f>
        <v/>
      </c>
      <c r="H13" s="15">
        <f>G13</f>
        <v/>
      </c>
      <c r="I13" s="16">
        <f>H13</f>
        <v/>
      </c>
      <c r="K13" s="12">
        <f>J13</f>
        <v/>
      </c>
      <c r="L13" s="15">
        <f>K13</f>
        <v/>
      </c>
      <c r="M13" s="16">
        <f>L13</f>
        <v/>
      </c>
      <c r="O13" s="12">
        <f>N13</f>
        <v/>
      </c>
      <c r="P13" s="15">
        <f>O13</f>
        <v/>
      </c>
      <c r="Q13" s="16">
        <f>P13</f>
        <v/>
      </c>
      <c r="R13" s="39" t="n">
        <v>0.5</v>
      </c>
      <c r="S13" s="12">
        <f>R13</f>
        <v/>
      </c>
      <c r="T13" s="15">
        <f>S13</f>
        <v/>
      </c>
      <c r="U13" s="16">
        <f>T13</f>
        <v/>
      </c>
      <c r="V13" s="39" t="n">
        <v>1.7</v>
      </c>
      <c r="W13" s="12">
        <f>V13</f>
        <v/>
      </c>
      <c r="X13" s="15">
        <f>W13</f>
        <v/>
      </c>
      <c r="Y13" s="16">
        <f>X13</f>
        <v/>
      </c>
      <c r="Z13" s="39" t="n">
        <v>1</v>
      </c>
      <c r="AA13" s="12">
        <f>Z13</f>
        <v/>
      </c>
      <c r="AB13" s="15">
        <f>AA13</f>
        <v/>
      </c>
      <c r="AC13" s="16">
        <f>AB13</f>
        <v/>
      </c>
    </row>
    <row r="14" customFormat="1" s="39">
      <c r="A14" s="34">
        <f>'2_MechAdd_Script'!A14</f>
        <v/>
      </c>
      <c r="B14" t="inlineStr">
        <is>
          <t>UTree_HeightLiveCrown</t>
        </is>
      </c>
      <c r="C14" s="4" t="n"/>
      <c r="D14" s="5" t="n"/>
      <c r="E14" s="32" t="n"/>
      <c r="G14" s="12">
        <f>F14</f>
        <v/>
      </c>
      <c r="H14" s="15">
        <f>G14</f>
        <v/>
      </c>
      <c r="I14" s="16">
        <f>H14</f>
        <v/>
      </c>
      <c r="K14" s="12">
        <f>J14</f>
        <v/>
      </c>
      <c r="L14" s="15">
        <f>K14</f>
        <v/>
      </c>
      <c r="M14" s="16">
        <f>L14</f>
        <v/>
      </c>
      <c r="O14" s="12">
        <f>N14</f>
        <v/>
      </c>
      <c r="P14" s="15">
        <f>O14</f>
        <v/>
      </c>
      <c r="Q14" s="16">
        <f>P14</f>
        <v/>
      </c>
      <c r="R14" s="39" t="n">
        <v>0</v>
      </c>
      <c r="S14" s="12">
        <f>R14</f>
        <v/>
      </c>
      <c r="T14" s="15">
        <f>S14</f>
        <v/>
      </c>
      <c r="U14" s="16">
        <f>T14</f>
        <v/>
      </c>
      <c r="V14" s="39" t="n">
        <v>2</v>
      </c>
      <c r="W14" s="12">
        <f>V14</f>
        <v/>
      </c>
      <c r="X14" s="15">
        <f>W14</f>
        <v/>
      </c>
      <c r="Y14" s="16">
        <f>X14</f>
        <v/>
      </c>
      <c r="Z14" s="39" t="n">
        <v>2</v>
      </c>
      <c r="AA14" s="12">
        <f>Z14</f>
        <v/>
      </c>
      <c r="AB14" s="15">
        <f>AA14</f>
        <v/>
      </c>
      <c r="AC14" s="16">
        <f>AB14</f>
        <v/>
      </c>
    </row>
    <row r="15" customFormat="1" s="39">
      <c r="A15" s="34">
        <f>'2_MechAdd_Script'!A15</f>
        <v/>
      </c>
      <c r="B15" t="inlineStr">
        <is>
          <t>UTree_Height</t>
        </is>
      </c>
      <c r="C15" s="4" t="n"/>
      <c r="D15" s="5" t="n"/>
      <c r="E15" s="32" t="n"/>
      <c r="G15" s="12">
        <f>F15</f>
        <v/>
      </c>
      <c r="H15" s="15">
        <f>G15</f>
        <v/>
      </c>
      <c r="I15" s="16">
        <f>H15</f>
        <v/>
      </c>
      <c r="K15" s="12">
        <f>J15</f>
        <v/>
      </c>
      <c r="L15" s="15">
        <f>K15</f>
        <v/>
      </c>
      <c r="M15" s="16">
        <f>L15</f>
        <v/>
      </c>
      <c r="O15" s="12">
        <f>N15</f>
        <v/>
      </c>
      <c r="P15" s="15">
        <f>O15</f>
        <v/>
      </c>
      <c r="Q15" s="16">
        <f>P15</f>
        <v/>
      </c>
      <c r="R15" s="39" t="n">
        <v>1.5</v>
      </c>
      <c r="S15" s="12">
        <f>R15</f>
        <v/>
      </c>
      <c r="T15" s="15">
        <f>S15</f>
        <v/>
      </c>
      <c r="U15" s="16">
        <f>T15</f>
        <v/>
      </c>
      <c r="V15" s="39" t="n">
        <v>10</v>
      </c>
      <c r="W15" s="12">
        <f>V15</f>
        <v/>
      </c>
      <c r="X15" s="15">
        <f>W15</f>
        <v/>
      </c>
      <c r="Y15" s="16">
        <f>X15</f>
        <v/>
      </c>
      <c r="Z15" s="39" t="n">
        <v>5</v>
      </c>
      <c r="AA15" s="12">
        <f>Z15</f>
        <v/>
      </c>
      <c r="AB15" s="15">
        <f>AA15</f>
        <v/>
      </c>
      <c r="AC15" s="16">
        <f>AB15</f>
        <v/>
      </c>
    </row>
    <row r="16" customFormat="1" s="39">
      <c r="A16" s="34">
        <f>'2_MechAdd_Script'!A16</f>
        <v/>
      </c>
      <c r="B16" t="inlineStr">
        <is>
          <t>UTree_Cover</t>
        </is>
      </c>
      <c r="C16" s="4" t="n">
        <v>0.25</v>
      </c>
      <c r="D16" s="5" t="n"/>
      <c r="E16" s="32" t="n"/>
      <c r="G16" s="12">
        <f>$C16*F16</f>
        <v/>
      </c>
      <c r="H16" s="15">
        <f>G16</f>
        <v/>
      </c>
      <c r="I16" s="16">
        <f>H16</f>
        <v/>
      </c>
      <c r="K16" s="12">
        <f>$C16*J16</f>
        <v/>
      </c>
      <c r="L16" s="15">
        <f>K16</f>
        <v/>
      </c>
      <c r="M16" s="16">
        <f>L16</f>
        <v/>
      </c>
      <c r="O16" s="12">
        <f>$C16*N16</f>
        <v/>
      </c>
      <c r="P16" s="15">
        <f>O16</f>
        <v/>
      </c>
      <c r="Q16" s="16">
        <f>P16</f>
        <v/>
      </c>
      <c r="R16" s="39" t="n">
        <v>3</v>
      </c>
      <c r="S16" s="12">
        <f>$C16*R16</f>
        <v/>
      </c>
      <c r="T16" s="15">
        <f>S16</f>
        <v/>
      </c>
      <c r="U16" s="16">
        <f>T16</f>
        <v/>
      </c>
      <c r="V16" s="39" t="n">
        <v>30</v>
      </c>
      <c r="W16" s="12">
        <f>$C16*V16</f>
        <v/>
      </c>
      <c r="X16" s="15">
        <f>W16</f>
        <v/>
      </c>
      <c r="Y16" s="16">
        <f>X16</f>
        <v/>
      </c>
      <c r="Z16" s="39" t="n">
        <v>5</v>
      </c>
      <c r="AA16" s="12">
        <f>$C16*Z16</f>
        <v/>
      </c>
      <c r="AB16" s="15">
        <f>AA16</f>
        <v/>
      </c>
      <c r="AC16" s="16">
        <f>AB16</f>
        <v/>
      </c>
    </row>
    <row r="17" customFormat="1" s="39">
      <c r="A17" s="34">
        <f>'2_MechAdd_Script'!A17</f>
        <v/>
      </c>
      <c r="B17" t="inlineStr">
        <is>
          <t>UTree_Density</t>
        </is>
      </c>
      <c r="C17" s="4" t="n">
        <v>0.25</v>
      </c>
      <c r="D17" s="5" t="n"/>
      <c r="E17" s="32" t="n"/>
      <c r="G17" s="12">
        <f>$C17*F17</f>
        <v/>
      </c>
      <c r="H17" s="15">
        <f>G17</f>
        <v/>
      </c>
      <c r="I17" s="16">
        <f>H17</f>
        <v/>
      </c>
      <c r="K17" s="12">
        <f>$C17*J17</f>
        <v/>
      </c>
      <c r="L17" s="15">
        <f>K17</f>
        <v/>
      </c>
      <c r="M17" s="16">
        <f>L17</f>
        <v/>
      </c>
      <c r="O17" s="12">
        <f>$C17*N17</f>
        <v/>
      </c>
      <c r="P17" s="15">
        <f>O17</f>
        <v/>
      </c>
      <c r="Q17" s="16">
        <f>P17</f>
        <v/>
      </c>
      <c r="R17" s="39" t="n">
        <v>1000</v>
      </c>
      <c r="S17" s="12">
        <f>$C17*R17</f>
        <v/>
      </c>
      <c r="T17" s="15">
        <f>S17</f>
        <v/>
      </c>
      <c r="U17" s="16">
        <f>T17</f>
        <v/>
      </c>
      <c r="V17" s="39" t="n">
        <v>1000</v>
      </c>
      <c r="W17" s="12">
        <f>$C17*V17</f>
        <v/>
      </c>
      <c r="X17" s="15">
        <f>W17</f>
        <v/>
      </c>
      <c r="Y17" s="16">
        <f>X17</f>
        <v/>
      </c>
      <c r="Z17" s="39" t="n">
        <v>25</v>
      </c>
      <c r="AA17" s="12">
        <f>$C17*Z17</f>
        <v/>
      </c>
      <c r="AB17" s="15">
        <f>AA17</f>
        <v/>
      </c>
      <c r="AC17" s="16">
        <f>AB17</f>
        <v/>
      </c>
    </row>
    <row r="18" customFormat="1" s="39">
      <c r="A18" s="34">
        <f>'2_MechAdd_Script'!A18</f>
        <v/>
      </c>
      <c r="B18" t="inlineStr">
        <is>
          <t>C1Snag_Diameter</t>
        </is>
      </c>
      <c r="C18" s="4" t="n"/>
      <c r="D18" s="5" t="n"/>
      <c r="E18" s="32" t="n"/>
      <c r="G18" s="12">
        <f>F18</f>
        <v/>
      </c>
      <c r="H18" s="15">
        <f>G18</f>
        <v/>
      </c>
      <c r="I18" s="16">
        <f>H18</f>
        <v/>
      </c>
      <c r="K18" s="12">
        <f>J18</f>
        <v/>
      </c>
      <c r="L18" s="15">
        <f>K18</f>
        <v/>
      </c>
      <c r="M18" s="16">
        <f>L18</f>
        <v/>
      </c>
      <c r="O18" s="12">
        <f>N18</f>
        <v/>
      </c>
      <c r="P18" s="15">
        <f>O18</f>
        <v/>
      </c>
      <c r="Q18" s="16">
        <f>P18</f>
        <v/>
      </c>
      <c r="R18" s="39" t="n">
        <v>3.5</v>
      </c>
      <c r="S18" s="12">
        <f>R18</f>
        <v/>
      </c>
      <c r="T18" s="15">
        <f>S18</f>
        <v/>
      </c>
      <c r="U18" s="16">
        <f>T18</f>
        <v/>
      </c>
      <c r="V18" s="39" t="n">
        <v>13</v>
      </c>
      <c r="W18" s="12">
        <f>V18</f>
        <v/>
      </c>
      <c r="X18" s="15">
        <f>W18</f>
        <v/>
      </c>
      <c r="Y18" s="16">
        <f>X18</f>
        <v/>
      </c>
      <c r="AA18" s="12">
        <f>Z18</f>
        <v/>
      </c>
      <c r="AB18" s="15">
        <f>AA18</f>
        <v/>
      </c>
      <c r="AC18" s="16">
        <f>AB18</f>
        <v/>
      </c>
    </row>
    <row r="19" customFormat="1" s="39">
      <c r="A19" s="34">
        <f>'2_MechAdd_Script'!A19</f>
        <v/>
      </c>
      <c r="B19" t="inlineStr">
        <is>
          <t>C1Snag_Height</t>
        </is>
      </c>
      <c r="C19" s="4" t="n"/>
      <c r="D19" s="5" t="n"/>
      <c r="E19" s="32" t="n"/>
      <c r="G19" s="12">
        <f>F19</f>
        <v/>
      </c>
      <c r="H19" s="15">
        <f>G19</f>
        <v/>
      </c>
      <c r="I19" s="16">
        <f>H19</f>
        <v/>
      </c>
      <c r="K19" s="12">
        <f>J19</f>
        <v/>
      </c>
      <c r="L19" s="15">
        <f>K19</f>
        <v/>
      </c>
      <c r="M19" s="16">
        <f>L19</f>
        <v/>
      </c>
      <c r="O19" s="12">
        <f>N19</f>
        <v/>
      </c>
      <c r="P19" s="15">
        <f>O19</f>
        <v/>
      </c>
      <c r="Q19" s="16">
        <f>P19</f>
        <v/>
      </c>
      <c r="R19" s="39" t="n">
        <v>25</v>
      </c>
      <c r="S19" s="12">
        <f>R19</f>
        <v/>
      </c>
      <c r="T19" s="15">
        <f>S19</f>
        <v/>
      </c>
      <c r="U19" s="16">
        <f>T19</f>
        <v/>
      </c>
      <c r="V19" s="39" t="n">
        <v>55</v>
      </c>
      <c r="W19" s="12">
        <f>V19</f>
        <v/>
      </c>
      <c r="X19" s="15">
        <f>W19</f>
        <v/>
      </c>
      <c r="Y19" s="16">
        <f>X19</f>
        <v/>
      </c>
      <c r="AA19" s="12">
        <f>Z19</f>
        <v/>
      </c>
      <c r="AB19" s="15">
        <f>AA19</f>
        <v/>
      </c>
      <c r="AC19" s="16">
        <f>AB19</f>
        <v/>
      </c>
    </row>
    <row r="20" customFormat="1" s="39">
      <c r="A20" s="34">
        <f>'2_MechAdd_Script'!A20</f>
        <v/>
      </c>
      <c r="B20" t="inlineStr">
        <is>
          <t>C1Snag_Density</t>
        </is>
      </c>
      <c r="C20" s="4" t="n"/>
      <c r="D20" s="5" t="n"/>
      <c r="E20" s="32" t="n"/>
      <c r="G20" s="12">
        <f>F20</f>
        <v/>
      </c>
      <c r="H20" s="15">
        <f>G20</f>
        <v/>
      </c>
      <c r="I20" s="16">
        <f>H20</f>
        <v/>
      </c>
      <c r="K20" s="12">
        <f>J20</f>
        <v/>
      </c>
      <c r="L20" s="15">
        <f>K20</f>
        <v/>
      </c>
      <c r="M20" s="16">
        <f>L20</f>
        <v/>
      </c>
      <c r="O20" s="12">
        <f>N20</f>
        <v/>
      </c>
      <c r="P20" s="15">
        <f>O20</f>
        <v/>
      </c>
      <c r="Q20" s="16">
        <f>P20</f>
        <v/>
      </c>
      <c r="R20" s="39" t="n">
        <v>100</v>
      </c>
      <c r="S20" s="12">
        <f>R20</f>
        <v/>
      </c>
      <c r="T20" s="15">
        <f>S20</f>
        <v/>
      </c>
      <c r="U20" s="16">
        <f>T20</f>
        <v/>
      </c>
      <c r="V20" s="39" t="n">
        <v>5</v>
      </c>
      <c r="W20" s="12">
        <f>V20</f>
        <v/>
      </c>
      <c r="X20" s="15">
        <f>W20</f>
        <v/>
      </c>
      <c r="Y20" s="16">
        <f>X20</f>
        <v/>
      </c>
      <c r="AA20" s="12">
        <f>Z20</f>
        <v/>
      </c>
      <c r="AB20" s="15">
        <f>AA20</f>
        <v/>
      </c>
      <c r="AC20" s="16">
        <f>AB20</f>
        <v/>
      </c>
    </row>
    <row r="21" customFormat="1" s="39">
      <c r="A21" s="34">
        <f>'2_MechAdd_Script'!A21</f>
        <v/>
      </c>
      <c r="B21" t="inlineStr">
        <is>
          <t>C1FSnag_HeightCrownBase</t>
        </is>
      </c>
      <c r="C21" s="4" t="n"/>
      <c r="D21" s="5" t="n"/>
      <c r="E21" s="32" t="n"/>
      <c r="G21" s="12">
        <f>F21</f>
        <v/>
      </c>
      <c r="H21" s="15">
        <f>G21</f>
        <v/>
      </c>
      <c r="I21" s="16">
        <f>H21</f>
        <v/>
      </c>
      <c r="K21" s="12">
        <f>J21</f>
        <v/>
      </c>
      <c r="L21" s="15">
        <f>K21</f>
        <v/>
      </c>
      <c r="M21" s="16">
        <f>L21</f>
        <v/>
      </c>
      <c r="O21" s="12">
        <f>N21</f>
        <v/>
      </c>
      <c r="P21" s="15">
        <f>O21</f>
        <v/>
      </c>
      <c r="Q21" s="16">
        <f>P21</f>
        <v/>
      </c>
      <c r="S21" s="12">
        <f>R21</f>
        <v/>
      </c>
      <c r="T21" s="15">
        <f>S21</f>
        <v/>
      </c>
      <c r="U21" s="16">
        <f>T21</f>
        <v/>
      </c>
      <c r="V21" s="39" t="n">
        <v>33.35</v>
      </c>
      <c r="W21" s="12">
        <f>V21</f>
        <v/>
      </c>
      <c r="X21" s="15">
        <f>W21</f>
        <v/>
      </c>
      <c r="Y21" s="16">
        <f>X21</f>
        <v/>
      </c>
      <c r="AA21" s="12">
        <f>Z21</f>
        <v/>
      </c>
      <c r="AB21" s="15">
        <f>AA21</f>
        <v/>
      </c>
      <c r="AC21" s="16">
        <f>AB21</f>
        <v/>
      </c>
    </row>
    <row r="22" customFormat="1" s="39">
      <c r="A22" s="34">
        <f>'2_MechAdd_Script'!A22</f>
        <v/>
      </c>
      <c r="B22" t="inlineStr">
        <is>
          <t>C1FSnag_Diameter</t>
        </is>
      </c>
      <c r="C22" s="4" t="n"/>
      <c r="D22" s="5" t="n"/>
      <c r="E22" s="32" t="n"/>
      <c r="G22" s="12">
        <f>F22</f>
        <v/>
      </c>
      <c r="H22" s="15">
        <f>G22</f>
        <v/>
      </c>
      <c r="I22" s="16">
        <f>H22</f>
        <v/>
      </c>
      <c r="K22" s="12">
        <f>J22</f>
        <v/>
      </c>
      <c r="L22" s="15">
        <f>K22</f>
        <v/>
      </c>
      <c r="M22" s="16">
        <f>L22</f>
        <v/>
      </c>
      <c r="O22" s="12">
        <f>N22</f>
        <v/>
      </c>
      <c r="P22" s="15">
        <f>O22</f>
        <v/>
      </c>
      <c r="Q22" s="16">
        <f>P22</f>
        <v/>
      </c>
      <c r="S22" s="12">
        <f>R22</f>
        <v/>
      </c>
      <c r="T22" s="15">
        <f>S22</f>
        <v/>
      </c>
      <c r="U22" s="16">
        <f>T22</f>
        <v/>
      </c>
      <c r="V22" s="39" t="n">
        <v>9</v>
      </c>
      <c r="W22" s="12">
        <f>V22</f>
        <v/>
      </c>
      <c r="X22" s="15">
        <f>W22</f>
        <v/>
      </c>
      <c r="Y22" s="16">
        <f>X22</f>
        <v/>
      </c>
      <c r="AA22" s="12">
        <f>Z22</f>
        <v/>
      </c>
      <c r="AB22" s="15">
        <f>AA22</f>
        <v/>
      </c>
      <c r="AC22" s="16">
        <f>AB22</f>
        <v/>
      </c>
    </row>
    <row r="23" customFormat="1" s="39">
      <c r="A23" s="34">
        <f>'2_MechAdd_Script'!A23</f>
        <v/>
      </c>
      <c r="B23" t="inlineStr">
        <is>
          <t>C1FSnag_Height</t>
        </is>
      </c>
      <c r="C23" s="4" t="n"/>
      <c r="D23" s="5" t="n"/>
      <c r="E23" s="32" t="n"/>
      <c r="G23" s="12">
        <f>F23</f>
        <v/>
      </c>
      <c r="H23" s="15">
        <f>G23</f>
        <v/>
      </c>
      <c r="I23" s="16">
        <f>H23</f>
        <v/>
      </c>
      <c r="K23" s="12">
        <f>J23</f>
        <v/>
      </c>
      <c r="L23" s="15">
        <f>K23</f>
        <v/>
      </c>
      <c r="M23" s="16">
        <f>L23</f>
        <v/>
      </c>
      <c r="O23" s="12">
        <f>N23</f>
        <v/>
      </c>
      <c r="P23" s="15">
        <f>O23</f>
        <v/>
      </c>
      <c r="Q23" s="16">
        <f>P23</f>
        <v/>
      </c>
      <c r="S23" s="12">
        <f>R23</f>
        <v/>
      </c>
      <c r="T23" s="15">
        <f>S23</f>
        <v/>
      </c>
      <c r="U23" s="16">
        <f>T23</f>
        <v/>
      </c>
      <c r="V23" s="39" t="n">
        <v>50</v>
      </c>
      <c r="W23" s="12">
        <f>V23</f>
        <v/>
      </c>
      <c r="X23" s="15">
        <f>W23</f>
        <v/>
      </c>
      <c r="Y23" s="16">
        <f>X23</f>
        <v/>
      </c>
      <c r="AA23" s="12">
        <f>Z23</f>
        <v/>
      </c>
      <c r="AB23" s="15">
        <f>AA23</f>
        <v/>
      </c>
      <c r="AC23" s="16">
        <f>AB23</f>
        <v/>
      </c>
    </row>
    <row r="24" customFormat="1" s="39">
      <c r="A24" s="34">
        <f>'2_MechAdd_Script'!A24</f>
        <v/>
      </c>
      <c r="B24" t="inlineStr">
        <is>
          <t>C1FSnag_Cover</t>
        </is>
      </c>
      <c r="C24" s="4" t="n"/>
      <c r="D24" s="5" t="n"/>
      <c r="E24" s="32" t="n"/>
      <c r="G24" s="12">
        <f>F24</f>
        <v/>
      </c>
      <c r="H24" s="15">
        <f>G24</f>
        <v/>
      </c>
      <c r="I24" s="16">
        <f>H24</f>
        <v/>
      </c>
      <c r="K24" s="12">
        <f>J24</f>
        <v/>
      </c>
      <c r="L24" s="15">
        <f>K24</f>
        <v/>
      </c>
      <c r="M24" s="16">
        <f>L24</f>
        <v/>
      </c>
      <c r="O24" s="12">
        <f>N24</f>
        <v/>
      </c>
      <c r="P24" s="15">
        <f>O24</f>
        <v/>
      </c>
      <c r="Q24" s="16">
        <f>P24</f>
        <v/>
      </c>
      <c r="S24" s="12">
        <f>R24</f>
        <v/>
      </c>
      <c r="T24" s="15">
        <f>S24</f>
        <v/>
      </c>
      <c r="U24" s="16">
        <f>T24</f>
        <v/>
      </c>
      <c r="V24" s="39" t="n">
        <v>0.5071</v>
      </c>
      <c r="W24" s="12">
        <f>V24</f>
        <v/>
      </c>
      <c r="X24" s="15">
        <f>W24</f>
        <v/>
      </c>
      <c r="Y24" s="16">
        <f>X24</f>
        <v/>
      </c>
      <c r="AA24" s="12">
        <f>Z24</f>
        <v/>
      </c>
      <c r="AB24" s="15">
        <f>AA24</f>
        <v/>
      </c>
      <c r="AC24" s="16">
        <f>AB24</f>
        <v/>
      </c>
    </row>
    <row r="25" customFormat="1" s="39">
      <c r="A25" s="34">
        <f>'2_MechAdd_Script'!A25</f>
        <v/>
      </c>
      <c r="B25" t="inlineStr">
        <is>
          <t>C1FSnag_Density</t>
        </is>
      </c>
      <c r="C25" s="4" t="n"/>
      <c r="D25" s="5" t="n"/>
      <c r="E25" s="32" t="n"/>
      <c r="G25" s="12">
        <f>F25</f>
        <v/>
      </c>
      <c r="H25" s="15">
        <f>G25</f>
        <v/>
      </c>
      <c r="I25" s="16">
        <f>H25</f>
        <v/>
      </c>
      <c r="K25" s="12">
        <f>J25</f>
        <v/>
      </c>
      <c r="L25" s="15">
        <f>K25</f>
        <v/>
      </c>
      <c r="M25" s="16">
        <f>L25</f>
        <v/>
      </c>
      <c r="O25" s="12">
        <f>N25</f>
        <v/>
      </c>
      <c r="P25" s="15">
        <f>O25</f>
        <v/>
      </c>
      <c r="Q25" s="16">
        <f>P25</f>
        <v/>
      </c>
      <c r="S25" s="12">
        <f>R25</f>
        <v/>
      </c>
      <c r="T25" s="15">
        <f>S25</f>
        <v/>
      </c>
      <c r="U25" s="16">
        <f>T25</f>
        <v/>
      </c>
      <c r="V25" s="39" t="n">
        <v>5</v>
      </c>
      <c r="W25" s="12">
        <f>V25</f>
        <v/>
      </c>
      <c r="X25" s="15">
        <f>W25</f>
        <v/>
      </c>
      <c r="Y25" s="16">
        <f>X25</f>
        <v/>
      </c>
      <c r="AA25" s="12">
        <f>Z25</f>
        <v/>
      </c>
      <c r="AB25" s="15">
        <f>AA25</f>
        <v/>
      </c>
      <c r="AC25" s="16">
        <f>AB25</f>
        <v/>
      </c>
    </row>
    <row r="26" customFormat="1" s="39">
      <c r="A26" s="34">
        <f>'2_MechAdd_Script'!A26</f>
        <v/>
      </c>
      <c r="B26" t="inlineStr">
        <is>
          <t>C2Snag_Diameter</t>
        </is>
      </c>
      <c r="C26" s="4" t="n"/>
      <c r="D26" s="5" t="n"/>
      <c r="E26" s="32" t="n"/>
      <c r="G26" s="12">
        <f>F26</f>
        <v/>
      </c>
      <c r="H26" s="15">
        <f>G26</f>
        <v/>
      </c>
      <c r="I26" s="16">
        <f>H26</f>
        <v/>
      </c>
      <c r="K26" s="12">
        <f>J26</f>
        <v/>
      </c>
      <c r="L26" s="15">
        <f>K26</f>
        <v/>
      </c>
      <c r="M26" s="16">
        <f>L26</f>
        <v/>
      </c>
      <c r="O26" s="12">
        <f>N26</f>
        <v/>
      </c>
      <c r="P26" s="15">
        <f>O26</f>
        <v/>
      </c>
      <c r="Q26" s="16">
        <f>P26</f>
        <v/>
      </c>
      <c r="R26" s="39" t="n">
        <v>3.5</v>
      </c>
      <c r="S26" s="12">
        <f>R26</f>
        <v/>
      </c>
      <c r="T26" s="15">
        <f>S26</f>
        <v/>
      </c>
      <c r="U26" s="16">
        <f>T26</f>
        <v/>
      </c>
      <c r="V26" s="39" t="n">
        <v>11</v>
      </c>
      <c r="W26" s="12">
        <f>V26</f>
        <v/>
      </c>
      <c r="X26" s="15">
        <f>W26</f>
        <v/>
      </c>
      <c r="Y26" s="16">
        <f>X26</f>
        <v/>
      </c>
      <c r="Z26" s="39" t="n">
        <v>12</v>
      </c>
      <c r="AA26" s="12">
        <f>Z26</f>
        <v/>
      </c>
      <c r="AB26" s="15">
        <f>AA26</f>
        <v/>
      </c>
      <c r="AC26" s="16">
        <f>AB26</f>
        <v/>
      </c>
    </row>
    <row r="27" customFormat="1" s="39">
      <c r="A27" s="34">
        <f>'2_MechAdd_Script'!A27</f>
        <v/>
      </c>
      <c r="B27" t="inlineStr">
        <is>
          <t>C2Snag_Height</t>
        </is>
      </c>
      <c r="C27" s="4" t="n"/>
      <c r="D27" s="5" t="n"/>
      <c r="E27" s="32" t="n"/>
      <c r="G27" s="12">
        <f>F27</f>
        <v/>
      </c>
      <c r="H27" s="15">
        <f>G27</f>
        <v/>
      </c>
      <c r="I27" s="16">
        <f>H27</f>
        <v/>
      </c>
      <c r="K27" s="12">
        <f>J27</f>
        <v/>
      </c>
      <c r="L27" s="15">
        <f>K27</f>
        <v/>
      </c>
      <c r="M27" s="16">
        <f>L27</f>
        <v/>
      </c>
      <c r="O27" s="12">
        <f>N27</f>
        <v/>
      </c>
      <c r="P27" s="15">
        <f>O27</f>
        <v/>
      </c>
      <c r="Q27" s="16">
        <f>P27</f>
        <v/>
      </c>
      <c r="R27" s="39" t="n">
        <v>20</v>
      </c>
      <c r="S27" s="12">
        <f>R27</f>
        <v/>
      </c>
      <c r="T27" s="15">
        <f>S27</f>
        <v/>
      </c>
      <c r="U27" s="16">
        <f>T27</f>
        <v/>
      </c>
      <c r="V27" s="39" t="n">
        <v>50</v>
      </c>
      <c r="W27" s="12">
        <f>V27</f>
        <v/>
      </c>
      <c r="X27" s="15">
        <f>W27</f>
        <v/>
      </c>
      <c r="Y27" s="16">
        <f>X27</f>
        <v/>
      </c>
      <c r="Z27" s="39" t="n">
        <v>70</v>
      </c>
      <c r="AA27" s="12">
        <f>Z27</f>
        <v/>
      </c>
      <c r="AB27" s="15">
        <f>AA27</f>
        <v/>
      </c>
      <c r="AC27" s="16">
        <f>AB27</f>
        <v/>
      </c>
    </row>
    <row r="28" customFormat="1" s="39">
      <c r="A28" s="34">
        <f>'2_MechAdd_Script'!A28</f>
        <v/>
      </c>
      <c r="B28" t="inlineStr">
        <is>
          <t>C2Snag_Density</t>
        </is>
      </c>
      <c r="C28" s="4" t="n"/>
      <c r="D28" s="5" t="n"/>
      <c r="E28" s="32" t="n"/>
      <c r="G28" s="12">
        <f>F28</f>
        <v/>
      </c>
      <c r="H28" s="15">
        <f>G28</f>
        <v/>
      </c>
      <c r="I28" s="16">
        <f>H28</f>
        <v/>
      </c>
      <c r="K28" s="12">
        <f>J28</f>
        <v/>
      </c>
      <c r="L28" s="15">
        <f>K28</f>
        <v/>
      </c>
      <c r="M28" s="16">
        <f>L28</f>
        <v/>
      </c>
      <c r="O28" s="12">
        <f>N28</f>
        <v/>
      </c>
      <c r="P28" s="15">
        <f>O28</f>
        <v/>
      </c>
      <c r="Q28" s="16">
        <f>P28</f>
        <v/>
      </c>
      <c r="R28" s="39" t="n">
        <v>150</v>
      </c>
      <c r="S28" s="12">
        <f>R28</f>
        <v/>
      </c>
      <c r="T28" s="15">
        <f>S28</f>
        <v/>
      </c>
      <c r="U28" s="16">
        <f>T28</f>
        <v/>
      </c>
      <c r="V28" s="39" t="n">
        <v>10</v>
      </c>
      <c r="W28" s="12">
        <f>V28</f>
        <v/>
      </c>
      <c r="X28" s="15">
        <f>W28</f>
        <v/>
      </c>
      <c r="Y28" s="16">
        <f>X28</f>
        <v/>
      </c>
      <c r="Z28" s="39" t="n">
        <v>3</v>
      </c>
      <c r="AA28" s="12">
        <f>Z28</f>
        <v/>
      </c>
      <c r="AB28" s="15">
        <f>AA28</f>
        <v/>
      </c>
      <c r="AC28" s="16">
        <f>AB28</f>
        <v/>
      </c>
    </row>
    <row r="29" customFormat="1" s="39">
      <c r="A29" s="34">
        <f>'2_MechAdd_Script'!A29</f>
        <v/>
      </c>
      <c r="B29" t="inlineStr">
        <is>
          <t>C3Snag_Diameter</t>
        </is>
      </c>
      <c r="C29" s="4" t="n"/>
      <c r="D29" s="5" t="n"/>
      <c r="E29" s="32" t="n"/>
      <c r="F29" s="39" t="n">
        <v>9</v>
      </c>
      <c r="G29" s="12">
        <f>F29</f>
        <v/>
      </c>
      <c r="H29" s="15">
        <f>G29</f>
        <v/>
      </c>
      <c r="I29" s="16">
        <f>H29</f>
        <v/>
      </c>
      <c r="K29" s="12">
        <f>J29</f>
        <v/>
      </c>
      <c r="L29" s="15">
        <f>K29</f>
        <v/>
      </c>
      <c r="M29" s="16">
        <f>L29</f>
        <v/>
      </c>
      <c r="O29" s="12">
        <f>N29</f>
        <v/>
      </c>
      <c r="P29" s="15">
        <f>O29</f>
        <v/>
      </c>
      <c r="Q29" s="16">
        <f>P29</f>
        <v/>
      </c>
      <c r="R29" s="39" t="n">
        <v>3.5</v>
      </c>
      <c r="S29" s="12">
        <f>R29</f>
        <v/>
      </c>
      <c r="T29" s="15">
        <f>S29</f>
        <v/>
      </c>
      <c r="U29" s="16">
        <f>T29</f>
        <v/>
      </c>
      <c r="V29" s="39" t="n">
        <v>11</v>
      </c>
      <c r="W29" s="12">
        <f>V29</f>
        <v/>
      </c>
      <c r="X29" s="15">
        <f>W29</f>
        <v/>
      </c>
      <c r="Y29" s="16">
        <f>X29</f>
        <v/>
      </c>
      <c r="Z29" s="39" t="n">
        <v>10</v>
      </c>
      <c r="AA29" s="12">
        <f>Z29</f>
        <v/>
      </c>
      <c r="AB29" s="15">
        <f>AA29</f>
        <v/>
      </c>
      <c r="AC29" s="16">
        <f>AB29</f>
        <v/>
      </c>
    </row>
    <row r="30" customFormat="1" s="39">
      <c r="A30" s="34">
        <f>'2_MechAdd_Script'!A30</f>
        <v/>
      </c>
      <c r="B30" t="inlineStr">
        <is>
          <t>C3Snag_Height</t>
        </is>
      </c>
      <c r="C30" s="4" t="n"/>
      <c r="D30" s="5" t="n"/>
      <c r="E30" s="32" t="n"/>
      <c r="F30" s="39" t="n">
        <v>60</v>
      </c>
      <c r="G30" s="12">
        <f>F30</f>
        <v/>
      </c>
      <c r="H30" s="15">
        <f>G30</f>
        <v/>
      </c>
      <c r="I30" s="16">
        <f>H30</f>
        <v/>
      </c>
      <c r="K30" s="12">
        <f>J30</f>
        <v/>
      </c>
      <c r="L30" s="15">
        <f>K30</f>
        <v/>
      </c>
      <c r="M30" s="16">
        <f>L30</f>
        <v/>
      </c>
      <c r="O30" s="12">
        <f>N30</f>
        <v/>
      </c>
      <c r="P30" s="15">
        <f>O30</f>
        <v/>
      </c>
      <c r="Q30" s="16">
        <f>P30</f>
        <v/>
      </c>
      <c r="R30" s="39" t="n">
        <v>15</v>
      </c>
      <c r="S30" s="12">
        <f>R30</f>
        <v/>
      </c>
      <c r="T30" s="15">
        <f>S30</f>
        <v/>
      </c>
      <c r="U30" s="16">
        <f>T30</f>
        <v/>
      </c>
      <c r="V30" s="39" t="n">
        <v>40</v>
      </c>
      <c r="W30" s="12">
        <f>V30</f>
        <v/>
      </c>
      <c r="X30" s="15">
        <f>W30</f>
        <v/>
      </c>
      <c r="Y30" s="16">
        <f>X30</f>
        <v/>
      </c>
      <c r="Z30" s="39" t="n">
        <v>60</v>
      </c>
      <c r="AA30" s="12">
        <f>Z30</f>
        <v/>
      </c>
      <c r="AB30" s="15">
        <f>AA30</f>
        <v/>
      </c>
      <c r="AC30" s="16">
        <f>AB30</f>
        <v/>
      </c>
    </row>
    <row r="31" customFormat="1" s="39">
      <c r="A31" s="34">
        <f>'2_MechAdd_Script'!A31</f>
        <v/>
      </c>
      <c r="B31" t="inlineStr">
        <is>
          <t>C3Snag_Density</t>
        </is>
      </c>
      <c r="C31" s="4" t="n"/>
      <c r="D31" s="5" t="n"/>
      <c r="E31" s="32" t="n"/>
      <c r="F31" s="39" t="n">
        <v>3</v>
      </c>
      <c r="G31" s="12">
        <f>F31</f>
        <v/>
      </c>
      <c r="H31" s="15">
        <f>G31</f>
        <v/>
      </c>
      <c r="I31" s="16">
        <f>H31</f>
        <v/>
      </c>
      <c r="K31" s="12">
        <f>J31</f>
        <v/>
      </c>
      <c r="L31" s="15">
        <f>K31</f>
        <v/>
      </c>
      <c r="M31" s="16">
        <f>L31</f>
        <v/>
      </c>
      <c r="O31" s="12">
        <f>N31</f>
        <v/>
      </c>
      <c r="P31" s="15">
        <f>O31</f>
        <v/>
      </c>
      <c r="Q31" s="16">
        <f>P31</f>
        <v/>
      </c>
      <c r="R31" s="39" t="n">
        <v>150</v>
      </c>
      <c r="S31" s="12">
        <f>R31</f>
        <v/>
      </c>
      <c r="T31" s="15">
        <f>S31</f>
        <v/>
      </c>
      <c r="U31" s="16">
        <f>T31</f>
        <v/>
      </c>
      <c r="V31" s="39" t="n">
        <v>5</v>
      </c>
      <c r="W31" s="12">
        <f>V31</f>
        <v/>
      </c>
      <c r="X31" s="15">
        <f>W31</f>
        <v/>
      </c>
      <c r="Y31" s="16">
        <f>X31</f>
        <v/>
      </c>
      <c r="Z31" s="39" t="n">
        <v>3</v>
      </c>
      <c r="AA31" s="12">
        <f>Z31</f>
        <v/>
      </c>
      <c r="AB31" s="15">
        <f>AA31</f>
        <v/>
      </c>
      <c r="AC31" s="16">
        <f>AB31</f>
        <v/>
      </c>
    </row>
    <row r="32" customFormat="1" s="39">
      <c r="A32" s="34">
        <f>'2_MechAdd_Script'!A32</f>
        <v/>
      </c>
      <c r="B32" t="inlineStr">
        <is>
          <t>Ladder_MaxHeight</t>
        </is>
      </c>
      <c r="C32" s="4" t="n"/>
      <c r="D32" s="5" t="n"/>
      <c r="E32" s="32" t="n"/>
      <c r="G32" s="12">
        <f>F32</f>
        <v/>
      </c>
      <c r="H32" s="15">
        <f>G32</f>
        <v/>
      </c>
      <c r="I32" s="19">
        <f>H32</f>
        <v/>
      </c>
      <c r="K32" s="12">
        <f>J32</f>
        <v/>
      </c>
      <c r="L32" s="15">
        <f>K32</f>
        <v/>
      </c>
      <c r="M32" s="19">
        <f>L32</f>
        <v/>
      </c>
      <c r="O32" s="12">
        <f>N32</f>
        <v/>
      </c>
      <c r="P32" s="15">
        <f>O32</f>
        <v/>
      </c>
      <c r="Q32" s="19">
        <f>P32</f>
        <v/>
      </c>
      <c r="R32" s="39" t="n">
        <v>4</v>
      </c>
      <c r="S32" s="12">
        <f>R32</f>
        <v/>
      </c>
      <c r="T32" s="15">
        <f>S32</f>
        <v/>
      </c>
      <c r="U32" s="19">
        <f>T32</f>
        <v/>
      </c>
      <c r="V32" s="39" t="n">
        <v>15</v>
      </c>
      <c r="W32" s="12">
        <f>V32</f>
        <v/>
      </c>
      <c r="X32" s="15">
        <f>W32</f>
        <v/>
      </c>
      <c r="Y32" s="19">
        <f>X32</f>
        <v/>
      </c>
      <c r="AA32" s="12">
        <f>Z32</f>
        <v/>
      </c>
      <c r="AB32" s="15">
        <f>AA32</f>
        <v/>
      </c>
      <c r="AC32" s="19">
        <f>AB32</f>
        <v/>
      </c>
    </row>
    <row r="33" customFormat="1" s="39">
      <c r="A33" s="34">
        <f>'2_MechAdd_Script'!A33</f>
        <v/>
      </c>
      <c r="B33" t="inlineStr">
        <is>
          <t>Ladder_MinHeight</t>
        </is>
      </c>
      <c r="C33" s="4" t="n"/>
      <c r="D33" s="5" t="n"/>
      <c r="E33" s="32" t="n"/>
      <c r="G33" s="12">
        <f>F33</f>
        <v/>
      </c>
      <c r="H33" s="15">
        <f>G33</f>
        <v/>
      </c>
      <c r="I33" s="19">
        <f>H33</f>
        <v/>
      </c>
      <c r="K33" s="12">
        <f>J33</f>
        <v/>
      </c>
      <c r="L33" s="15">
        <f>K33</f>
        <v/>
      </c>
      <c r="M33" s="19">
        <f>L33</f>
        <v/>
      </c>
      <c r="O33" s="12">
        <f>N33</f>
        <v/>
      </c>
      <c r="P33" s="15">
        <f>O33</f>
        <v/>
      </c>
      <c r="Q33" s="19">
        <f>P33</f>
        <v/>
      </c>
      <c r="R33" s="39" t="n">
        <v>0</v>
      </c>
      <c r="S33" s="12">
        <f>R33</f>
        <v/>
      </c>
      <c r="T33" s="15">
        <f>S33</f>
        <v/>
      </c>
      <c r="U33" s="19">
        <f>T33</f>
        <v/>
      </c>
      <c r="V33" s="39" t="n">
        <v>5</v>
      </c>
      <c r="W33" s="12">
        <f>V33</f>
        <v/>
      </c>
      <c r="X33" s="15">
        <f>W33</f>
        <v/>
      </c>
      <c r="Y33" s="19">
        <f>X33</f>
        <v/>
      </c>
      <c r="AA33" s="12">
        <f>Z33</f>
        <v/>
      </c>
      <c r="AB33" s="15">
        <f>AA33</f>
        <v/>
      </c>
      <c r="AC33" s="19">
        <f>AB33</f>
        <v/>
      </c>
    </row>
    <row r="34" customFormat="1" s="39">
      <c r="A34" s="34">
        <f>'2_MechAdd_Script'!A34</f>
        <v/>
      </c>
      <c r="B34" t="inlineStr">
        <is>
          <t>1Shrub_Height</t>
        </is>
      </c>
      <c r="C34" s="4" t="n"/>
      <c r="D34" s="5" t="n"/>
      <c r="E34" s="32" t="n"/>
      <c r="F34" s="39" t="n">
        <v>2.2</v>
      </c>
      <c r="G34" s="12">
        <f>F34</f>
        <v/>
      </c>
      <c r="H34" s="15">
        <f>G34</f>
        <v/>
      </c>
      <c r="I34" s="16">
        <f>H34</f>
        <v/>
      </c>
      <c r="J34" s="39" t="n">
        <v>5</v>
      </c>
      <c r="K34" s="12">
        <f>J34</f>
        <v/>
      </c>
      <c r="L34" s="15">
        <f>K34</f>
        <v/>
      </c>
      <c r="M34" s="16">
        <f>L34</f>
        <v/>
      </c>
      <c r="N34" s="39" t="n">
        <v>3</v>
      </c>
      <c r="O34" s="12">
        <f>N34</f>
        <v/>
      </c>
      <c r="P34" s="15">
        <f>O34</f>
        <v/>
      </c>
      <c r="Q34" s="16">
        <f>P34</f>
        <v/>
      </c>
      <c r="R34" s="39" t="n">
        <v>5</v>
      </c>
      <c r="S34" s="12">
        <f>R34</f>
        <v/>
      </c>
      <c r="T34" s="15">
        <f>S34</f>
        <v/>
      </c>
      <c r="U34" s="16">
        <f>T34</f>
        <v/>
      </c>
      <c r="V34" s="39" t="n">
        <v>6</v>
      </c>
      <c r="W34" s="12">
        <f>V34</f>
        <v/>
      </c>
      <c r="X34" s="15">
        <f>W34</f>
        <v/>
      </c>
      <c r="Y34" s="16">
        <f>X34</f>
        <v/>
      </c>
      <c r="Z34" s="39" t="n">
        <v>5</v>
      </c>
      <c r="AA34" s="12">
        <f>Z34</f>
        <v/>
      </c>
      <c r="AB34" s="15">
        <f>AA34</f>
        <v/>
      </c>
      <c r="AC34" s="16">
        <f>AB34</f>
        <v/>
      </c>
    </row>
    <row r="35" customFormat="1" s="39">
      <c r="A35" s="34">
        <f>'2_MechAdd_Script'!A35</f>
        <v/>
      </c>
      <c r="B35" t="inlineStr">
        <is>
          <t>1Shrub_Cover</t>
        </is>
      </c>
      <c r="C35" s="4" t="n">
        <v>0.75</v>
      </c>
      <c r="D35" s="5" t="n">
        <v>1.1</v>
      </c>
      <c r="E35" s="32" t="n">
        <v>1.1</v>
      </c>
      <c r="F35" s="39" t="n">
        <v>21.6</v>
      </c>
      <c r="G35" s="12">
        <f>$C35*F35</f>
        <v/>
      </c>
      <c r="H35" s="15">
        <f>MIN(100,G35*$D35)</f>
        <v/>
      </c>
      <c r="I35" s="16">
        <f>MIN(100,$E35*H35)</f>
        <v/>
      </c>
      <c r="J35" s="39" t="n">
        <v>70</v>
      </c>
      <c r="K35" s="12">
        <f>$C35*J35</f>
        <v/>
      </c>
      <c r="L35" s="15">
        <f>MIN(100,K35*$D35)</f>
        <v/>
      </c>
      <c r="M35" s="16">
        <f>MIN(100,$E35*L35)</f>
        <v/>
      </c>
      <c r="N35" s="39" t="n">
        <v>2</v>
      </c>
      <c r="O35" s="12">
        <f>$C35*N35</f>
        <v/>
      </c>
      <c r="P35" s="15">
        <f>MIN(100,O35*$D35)</f>
        <v/>
      </c>
      <c r="Q35" s="16">
        <f>MIN(100,$E35*P35)</f>
        <v/>
      </c>
      <c r="R35" s="39" t="n">
        <v>10</v>
      </c>
      <c r="S35" s="12">
        <f>$C35*R35</f>
        <v/>
      </c>
      <c r="T35" s="15">
        <f>MIN(100,S35*$D35)</f>
        <v/>
      </c>
      <c r="U35" s="16">
        <f>MIN(100,$E35*T35)</f>
        <v/>
      </c>
      <c r="V35" s="39" t="n">
        <v>30</v>
      </c>
      <c r="W35" s="12">
        <f>$C35*V35</f>
        <v/>
      </c>
      <c r="X35" s="15">
        <f>MIN(100,W35*$D35)</f>
        <v/>
      </c>
      <c r="Y35" s="16">
        <f>MIN(100,$E35*X35)</f>
        <v/>
      </c>
      <c r="Z35" s="39" t="n">
        <v>80</v>
      </c>
      <c r="AA35" s="12">
        <f>$C35*Z35</f>
        <v/>
      </c>
      <c r="AB35" s="15">
        <f>MIN(100,AA35*$D35)</f>
        <v/>
      </c>
      <c r="AC35" s="16">
        <f>MIN(100,$E35*AB35)</f>
        <v/>
      </c>
    </row>
    <row r="36" customFormat="1" s="39">
      <c r="A36" s="34">
        <f>'2_MechAdd_Script'!A36</f>
        <v/>
      </c>
      <c r="B36" t="inlineStr">
        <is>
          <t>1Shrub_Live</t>
        </is>
      </c>
      <c r="C36" s="4" t="n">
        <v>0.5</v>
      </c>
      <c r="D36" s="5">
        <f>1/0.5</f>
        <v/>
      </c>
      <c r="E36" s="32" t="n"/>
      <c r="F36" s="39" t="n">
        <v>85</v>
      </c>
      <c r="G36" s="12">
        <f>$C36*F36</f>
        <v/>
      </c>
      <c r="H36" s="15">
        <f>MIN(100,G36*$D36)</f>
        <v/>
      </c>
      <c r="I36" s="16">
        <f>H36</f>
        <v/>
      </c>
      <c r="J36" s="39" t="n">
        <v>85</v>
      </c>
      <c r="K36" s="12">
        <f>$C36*J36</f>
        <v/>
      </c>
      <c r="L36" s="15">
        <f>MIN(100,K36*$D36)</f>
        <v/>
      </c>
      <c r="M36" s="16">
        <f>L36</f>
        <v/>
      </c>
      <c r="N36" s="39" t="n">
        <v>100</v>
      </c>
      <c r="O36" s="12">
        <f>$C36*N36</f>
        <v/>
      </c>
      <c r="P36" s="15">
        <f>MIN(100,O36*$D36)</f>
        <v/>
      </c>
      <c r="Q36" s="16">
        <f>P36</f>
        <v/>
      </c>
      <c r="R36" s="39" t="n">
        <v>90</v>
      </c>
      <c r="S36" s="12">
        <f>$C36*R36</f>
        <v/>
      </c>
      <c r="T36" s="15">
        <f>MIN(100,S36*$D36)</f>
        <v/>
      </c>
      <c r="U36" s="16">
        <f>T36</f>
        <v/>
      </c>
      <c r="V36" s="39" t="n">
        <v>85</v>
      </c>
      <c r="W36" s="12">
        <f>$C36*V36</f>
        <v/>
      </c>
      <c r="X36" s="15">
        <f>MIN(100,W36*$D36)</f>
        <v/>
      </c>
      <c r="Y36" s="16">
        <f>X36</f>
        <v/>
      </c>
      <c r="Z36" s="39" t="n">
        <v>90</v>
      </c>
      <c r="AA36" s="12">
        <f>$C36*Z36</f>
        <v/>
      </c>
      <c r="AB36" s="15">
        <f>MIN(100,AA36*$D36)</f>
        <v/>
      </c>
      <c r="AC36" s="16">
        <f>AB36</f>
        <v/>
      </c>
    </row>
    <row r="37" customFormat="1" s="39">
      <c r="A37" s="34">
        <f>'2_MechAdd_Script'!A37</f>
        <v/>
      </c>
      <c r="B37" t="inlineStr">
        <is>
          <t>2Shrub_Height</t>
        </is>
      </c>
      <c r="C37" s="4" t="n"/>
      <c r="D37" s="5" t="n"/>
      <c r="E37" s="32" t="n"/>
      <c r="F37" s="39" t="n">
        <v>0.3</v>
      </c>
      <c r="G37" s="12">
        <f>F37</f>
        <v/>
      </c>
      <c r="H37" s="15">
        <f>G37</f>
        <v/>
      </c>
      <c r="I37" s="16">
        <f>H37</f>
        <v/>
      </c>
      <c r="J37" s="39" t="n">
        <v>2</v>
      </c>
      <c r="K37" s="12">
        <f>J37</f>
        <v/>
      </c>
      <c r="L37" s="15">
        <f>K37</f>
        <v/>
      </c>
      <c r="M37" s="16">
        <f>L37</f>
        <v/>
      </c>
      <c r="O37" s="12">
        <f>N37</f>
        <v/>
      </c>
      <c r="P37" s="15">
        <f>O37</f>
        <v/>
      </c>
      <c r="Q37" s="16">
        <f>P37</f>
        <v/>
      </c>
      <c r="R37" s="39" t="n">
        <v>1</v>
      </c>
      <c r="S37" s="12">
        <f>R37</f>
        <v/>
      </c>
      <c r="T37" s="15">
        <f>S37</f>
        <v/>
      </c>
      <c r="U37" s="16">
        <f>T37</f>
        <v/>
      </c>
      <c r="W37" s="12">
        <f>V37</f>
        <v/>
      </c>
      <c r="X37" s="15">
        <f>W37</f>
        <v/>
      </c>
      <c r="Y37" s="16">
        <f>X37</f>
        <v/>
      </c>
      <c r="AA37" s="12">
        <f>Z37</f>
        <v/>
      </c>
      <c r="AB37" s="15">
        <f>AA37</f>
        <v/>
      </c>
      <c r="AC37" s="16">
        <f>AB37</f>
        <v/>
      </c>
    </row>
    <row r="38" customFormat="1" s="39">
      <c r="A38" s="34">
        <f>'2_MechAdd_Script'!A38</f>
        <v/>
      </c>
      <c r="B38" t="inlineStr">
        <is>
          <t>2Shrub_Cover</t>
        </is>
      </c>
      <c r="C38" s="4" t="n">
        <v>0.75</v>
      </c>
      <c r="D38" s="5" t="n">
        <v>1.1</v>
      </c>
      <c r="E38" s="32" t="n">
        <v>1.1</v>
      </c>
      <c r="F38" s="39" t="n">
        <v>1.2</v>
      </c>
      <c r="G38" s="12">
        <f>$C38*F38</f>
        <v/>
      </c>
      <c r="H38" s="15">
        <f>MIN(100,G38*$D38)</f>
        <v/>
      </c>
      <c r="I38" s="16">
        <f>MIN(100,$E38*H38)</f>
        <v/>
      </c>
      <c r="J38" s="39" t="n">
        <v>5</v>
      </c>
      <c r="K38" s="12">
        <f>$C38*J38</f>
        <v/>
      </c>
      <c r="L38" s="15">
        <f>MIN(100,K38*$D38)</f>
        <v/>
      </c>
      <c r="M38" s="16">
        <f>MIN(100,$E38*L38)</f>
        <v/>
      </c>
      <c r="O38" s="12">
        <f>$C38*N38</f>
        <v/>
      </c>
      <c r="P38" s="15">
        <f>MIN(100,O38*$D38)</f>
        <v/>
      </c>
      <c r="Q38" s="16">
        <f>MIN(100,$E38*P38)</f>
        <v/>
      </c>
      <c r="R38" s="39"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39">
      <c r="A39" s="34">
        <f>'2_MechAdd_Script'!A39</f>
        <v/>
      </c>
      <c r="B39" t="inlineStr">
        <is>
          <t>2Shrub_Live</t>
        </is>
      </c>
      <c r="C39" s="4" t="n">
        <v>0.5</v>
      </c>
      <c r="D39" s="5">
        <f>1/0.5</f>
        <v/>
      </c>
      <c r="E39" s="32" t="n"/>
      <c r="F39" s="39" t="n">
        <v>95</v>
      </c>
      <c r="G39" s="12">
        <f>$C39*F39</f>
        <v/>
      </c>
      <c r="H39" s="15">
        <f>MIN(100,G39*$D39)</f>
        <v/>
      </c>
      <c r="I39" s="16">
        <f>H39</f>
        <v/>
      </c>
      <c r="J39" s="39" t="n">
        <v>85</v>
      </c>
      <c r="K39" s="12">
        <f>$C39*J39</f>
        <v/>
      </c>
      <c r="L39" s="15">
        <f>MIN(100,K39*$D39)</f>
        <v/>
      </c>
      <c r="M39" s="16">
        <f>L39</f>
        <v/>
      </c>
      <c r="O39" s="12">
        <f>$C39*N39</f>
        <v/>
      </c>
      <c r="P39" s="15">
        <f>MIN(100,O39*$D39)</f>
        <v/>
      </c>
      <c r="Q39" s="16">
        <f>P39</f>
        <v/>
      </c>
      <c r="R39" s="39" t="n">
        <v>90</v>
      </c>
      <c r="S39" s="12">
        <f>$C39*R39</f>
        <v/>
      </c>
      <c r="T39" s="15">
        <f>MIN(100,S39*$D39)</f>
        <v/>
      </c>
      <c r="U39" s="16">
        <f>T39</f>
        <v/>
      </c>
      <c r="W39" s="12">
        <f>$C39*V39</f>
        <v/>
      </c>
      <c r="X39" s="15">
        <f>MIN(100,W39*$D39)</f>
        <v/>
      </c>
      <c r="Y39" s="16">
        <f>X39</f>
        <v/>
      </c>
      <c r="AA39" s="12">
        <f>$C39*Z39</f>
        <v/>
      </c>
      <c r="AB39" s="15">
        <f>MIN(100,AA39*$D39)</f>
        <v/>
      </c>
      <c r="AC39" s="16">
        <f>AB39</f>
        <v/>
      </c>
    </row>
    <row r="40" customFormat="1" s="39">
      <c r="A40" s="34">
        <f>'2_MechAdd_Script'!A40</f>
        <v/>
      </c>
      <c r="B40" t="inlineStr">
        <is>
          <t>1Herb_Height</t>
        </is>
      </c>
      <c r="C40" s="4" t="n"/>
      <c r="D40" s="5" t="n"/>
      <c r="E40" s="32" t="n"/>
      <c r="F40" s="39" t="n">
        <v>0.9</v>
      </c>
      <c r="G40" s="12">
        <f>F40</f>
        <v/>
      </c>
      <c r="H40" s="15">
        <f>G40</f>
        <v/>
      </c>
      <c r="I40" s="16">
        <f>H40</f>
        <v/>
      </c>
      <c r="K40" s="12">
        <f>J40</f>
        <v/>
      </c>
      <c r="L40" s="15">
        <f>K40</f>
        <v/>
      </c>
      <c r="M40" s="16">
        <f>L40</f>
        <v/>
      </c>
      <c r="N40" s="39" t="n">
        <v>2</v>
      </c>
      <c r="O40" s="12">
        <f>N40</f>
        <v/>
      </c>
      <c r="P40" s="15">
        <f>O40</f>
        <v/>
      </c>
      <c r="Q40" s="16">
        <f>P40</f>
        <v/>
      </c>
      <c r="R40" s="39" t="n">
        <v>1</v>
      </c>
      <c r="S40" s="12">
        <f>R40</f>
        <v/>
      </c>
      <c r="T40" s="15">
        <f>S40</f>
        <v/>
      </c>
      <c r="U40" s="16">
        <f>T40</f>
        <v/>
      </c>
      <c r="V40" s="39" t="n">
        <v>2.5</v>
      </c>
      <c r="W40" s="12">
        <f>V40</f>
        <v/>
      </c>
      <c r="X40" s="15">
        <f>W40</f>
        <v/>
      </c>
      <c r="Y40" s="16">
        <f>X40</f>
        <v/>
      </c>
      <c r="Z40" s="39" t="n">
        <v>2</v>
      </c>
      <c r="AA40" s="12">
        <f>Z40</f>
        <v/>
      </c>
      <c r="AB40" s="15">
        <f>AA40</f>
        <v/>
      </c>
      <c r="AC40" s="16">
        <f>AB40</f>
        <v/>
      </c>
    </row>
    <row r="41" customFormat="1" s="39">
      <c r="A41" s="34">
        <f>'2_MechAdd_Script'!A41</f>
        <v/>
      </c>
      <c r="B41" t="inlineStr">
        <is>
          <t>1Herb_Load</t>
        </is>
      </c>
      <c r="C41" s="4" t="n">
        <v>0.75</v>
      </c>
      <c r="D41" s="5" t="n">
        <v>1.25</v>
      </c>
      <c r="E41" s="31" t="n">
        <v>1.25</v>
      </c>
      <c r="F41" s="39" t="n">
        <v>0.1</v>
      </c>
      <c r="G41" s="12">
        <f>$C41*F41</f>
        <v/>
      </c>
      <c r="H41" s="15">
        <f>G41*$D41</f>
        <v/>
      </c>
      <c r="I41" s="16">
        <f>$E41*H41</f>
        <v/>
      </c>
      <c r="K41" s="12">
        <f>$C41*J41</f>
        <v/>
      </c>
      <c r="L41" s="15">
        <f>K41*$D41</f>
        <v/>
      </c>
      <c r="M41" s="16">
        <f>$E41*L41</f>
        <v/>
      </c>
      <c r="N41" s="39" t="n">
        <v>1</v>
      </c>
      <c r="O41" s="12">
        <f>$C41*N41</f>
        <v/>
      </c>
      <c r="P41" s="15">
        <f>O41*$D41</f>
        <v/>
      </c>
      <c r="Q41" s="16">
        <f>$E41*P41</f>
        <v/>
      </c>
      <c r="R41" s="39" t="n">
        <v>0.01</v>
      </c>
      <c r="S41" s="12">
        <f>$C41*R41</f>
        <v/>
      </c>
      <c r="T41" s="15">
        <f>S41*$D41</f>
        <v/>
      </c>
      <c r="U41" s="16">
        <f>$E41*T41</f>
        <v/>
      </c>
      <c r="V41" s="39" t="n">
        <v>0.4</v>
      </c>
      <c r="W41" s="12">
        <f>$C41*V41</f>
        <v/>
      </c>
      <c r="X41" s="15">
        <f>W41*$D41</f>
        <v/>
      </c>
      <c r="Y41" s="16">
        <f>$E41*X41</f>
        <v/>
      </c>
      <c r="Z41" s="39" t="n">
        <v>0.1</v>
      </c>
      <c r="AA41" s="12">
        <f>$C41*Z41</f>
        <v/>
      </c>
      <c r="AB41" s="15">
        <f>AA41*$D41</f>
        <v/>
      </c>
      <c r="AC41" s="16">
        <f>$E41*AB41</f>
        <v/>
      </c>
    </row>
    <row r="42" customFormat="1" s="39">
      <c r="A42" s="34">
        <f>'2_MechAdd_Script'!A42</f>
        <v/>
      </c>
      <c r="B42" t="inlineStr">
        <is>
          <t>1Herb_Cover</t>
        </is>
      </c>
      <c r="C42" s="4" t="n">
        <v>0.75</v>
      </c>
      <c r="D42" s="5" t="n">
        <v>1.25</v>
      </c>
      <c r="E42" s="31" t="n">
        <v>1.25</v>
      </c>
      <c r="F42" s="39" t="n">
        <v>0.7</v>
      </c>
      <c r="G42" s="12">
        <f>$C42*F42</f>
        <v/>
      </c>
      <c r="H42" s="15">
        <f>MIN(100,G42*$D42)</f>
        <v/>
      </c>
      <c r="I42" s="16">
        <f>MIN(100,$E42*H42)</f>
        <v/>
      </c>
      <c r="K42" s="12">
        <f>$C42*J42</f>
        <v/>
      </c>
      <c r="L42" s="15">
        <f>MIN(100,K42*$D42)</f>
        <v/>
      </c>
      <c r="M42" s="16">
        <f>MIN(100,$E42*L42)</f>
        <v/>
      </c>
      <c r="N42" s="39" t="n">
        <v>90</v>
      </c>
      <c r="O42" s="12">
        <f>$C42*N42</f>
        <v/>
      </c>
      <c r="P42" s="15">
        <f>MIN(100,O42*$D42)</f>
        <v/>
      </c>
      <c r="Q42" s="16">
        <f>MIN(100,$E42*P42)</f>
        <v/>
      </c>
      <c r="R42" s="39" t="n">
        <v>2</v>
      </c>
      <c r="S42" s="12">
        <f>$C42*R42</f>
        <v/>
      </c>
      <c r="T42" s="15">
        <f>MIN(100,S42*$D42)</f>
        <v/>
      </c>
      <c r="U42" s="16">
        <f>MIN(100,$E42*T42)</f>
        <v/>
      </c>
      <c r="V42" s="39" t="n">
        <v>30</v>
      </c>
      <c r="W42" s="12">
        <f>$C42*V42</f>
        <v/>
      </c>
      <c r="X42" s="15">
        <f>MIN(100,W42*$D42)</f>
        <v/>
      </c>
      <c r="Y42" s="16">
        <f>MIN(100,$E42*X42)</f>
        <v/>
      </c>
      <c r="Z42" s="39" t="n">
        <v>20</v>
      </c>
      <c r="AA42" s="12">
        <f>$C42*Z42</f>
        <v/>
      </c>
      <c r="AB42" s="15">
        <f>MIN(100,AA42*$D42)</f>
        <v/>
      </c>
      <c r="AC42" s="16">
        <f>MIN(100,$E42*AB42)</f>
        <v/>
      </c>
    </row>
    <row r="43" customFormat="1" s="39">
      <c r="A43" s="34">
        <f>'2_MechAdd_Script'!A43</f>
        <v/>
      </c>
      <c r="B43" t="inlineStr">
        <is>
          <t>1Herb_Live</t>
        </is>
      </c>
      <c r="C43" s="4" t="n">
        <v>0.75</v>
      </c>
      <c r="D43" s="5">
        <f>1/0.75</f>
        <v/>
      </c>
      <c r="E43" s="32" t="n"/>
      <c r="F43" s="39" t="n">
        <v>95</v>
      </c>
      <c r="G43" s="12">
        <f>$C43*F43</f>
        <v/>
      </c>
      <c r="H43" s="15">
        <f>G43*$D43</f>
        <v/>
      </c>
      <c r="I43" s="16">
        <f>H43</f>
        <v/>
      </c>
      <c r="K43" s="12">
        <f>$C43*J43</f>
        <v/>
      </c>
      <c r="L43" s="15">
        <f>K43*$D43</f>
        <v/>
      </c>
      <c r="M43" s="16">
        <f>L43</f>
        <v/>
      </c>
      <c r="N43" s="39" t="n">
        <v>85</v>
      </c>
      <c r="O43" s="12">
        <f>$C43*N43</f>
        <v/>
      </c>
      <c r="P43" s="15">
        <f>O43*$D43</f>
        <v/>
      </c>
      <c r="Q43" s="16">
        <f>P43</f>
        <v/>
      </c>
      <c r="R43" s="39" t="n">
        <v>90</v>
      </c>
      <c r="S43" s="12">
        <f>$C43*R43</f>
        <v/>
      </c>
      <c r="T43" s="15">
        <f>S43*$D43</f>
        <v/>
      </c>
      <c r="U43" s="16">
        <f>T43</f>
        <v/>
      </c>
      <c r="V43" s="39" t="n">
        <v>80</v>
      </c>
      <c r="W43" s="12">
        <f>$C43*V43</f>
        <v/>
      </c>
      <c r="X43" s="15">
        <f>W43*$D43</f>
        <v/>
      </c>
      <c r="Y43" s="16">
        <f>X43</f>
        <v/>
      </c>
      <c r="Z43" s="39" t="n">
        <v>60</v>
      </c>
      <c r="AA43" s="12">
        <f>$C43*Z43</f>
        <v/>
      </c>
      <c r="AB43" s="15">
        <f>AA43*$D43</f>
        <v/>
      </c>
      <c r="AC43" s="16">
        <f>AB43</f>
        <v/>
      </c>
    </row>
    <row r="44" customFormat="1" s="39">
      <c r="A44" s="34">
        <f>'2_MechAdd_Script'!A44</f>
        <v/>
      </c>
      <c r="B44" t="inlineStr">
        <is>
          <t>2Herb_Height</t>
        </is>
      </c>
      <c r="C44" s="4" t="n"/>
      <c r="D44" s="5" t="n"/>
      <c r="E44" s="32" t="n"/>
      <c r="F44" s="39" t="n">
        <v>0.9</v>
      </c>
      <c r="G44" s="12">
        <f>F44</f>
        <v/>
      </c>
      <c r="H44" s="15">
        <f>G44</f>
        <v/>
      </c>
      <c r="I44" s="16">
        <f>H44</f>
        <v/>
      </c>
      <c r="K44" s="12">
        <f>J44</f>
        <v/>
      </c>
      <c r="L44" s="15">
        <f>K44</f>
        <v/>
      </c>
      <c r="M44" s="16">
        <f>L44</f>
        <v/>
      </c>
      <c r="N44" s="39" t="n">
        <v>1</v>
      </c>
      <c r="O44" s="12">
        <f>N44</f>
        <v/>
      </c>
      <c r="P44" s="15">
        <f>O44</f>
        <v/>
      </c>
      <c r="Q44" s="16">
        <f>P44</f>
        <v/>
      </c>
      <c r="R44" s="39" t="n">
        <v>0.5</v>
      </c>
      <c r="S44" s="12">
        <f>R44</f>
        <v/>
      </c>
      <c r="T44" s="15">
        <f>S44</f>
        <v/>
      </c>
      <c r="U44" s="16">
        <f>T44</f>
        <v/>
      </c>
      <c r="W44" s="12">
        <f>V44</f>
        <v/>
      </c>
      <c r="X44" s="15">
        <f>W44</f>
        <v/>
      </c>
      <c r="Y44" s="16">
        <f>X44</f>
        <v/>
      </c>
      <c r="Z44" s="39" t="n">
        <v>1</v>
      </c>
      <c r="AA44" s="12">
        <f>Z44</f>
        <v/>
      </c>
      <c r="AB44" s="15">
        <f>AA44</f>
        <v/>
      </c>
      <c r="AC44" s="16">
        <f>AB44</f>
        <v/>
      </c>
    </row>
    <row r="45" customFormat="1" s="39">
      <c r="A45" s="34">
        <f>'2_MechAdd_Script'!A45</f>
        <v/>
      </c>
      <c r="B45" t="inlineStr">
        <is>
          <t>2Herb_Load</t>
        </is>
      </c>
      <c r="C45" s="4" t="n">
        <v>0.75</v>
      </c>
      <c r="D45" s="5" t="n">
        <v>1.25</v>
      </c>
      <c r="E45" s="31" t="n">
        <v>1.25</v>
      </c>
      <c r="F45" s="39" t="n">
        <v>0.1</v>
      </c>
      <c r="G45" s="12">
        <f>$C45*F45</f>
        <v/>
      </c>
      <c r="H45" s="15">
        <f>G45*$D45</f>
        <v/>
      </c>
      <c r="I45" s="16">
        <f>MIN(100,$E45*H45)</f>
        <v/>
      </c>
      <c r="K45" s="12">
        <f>$C45*J45</f>
        <v/>
      </c>
      <c r="L45" s="15">
        <f>K45*$D45</f>
        <v/>
      </c>
      <c r="M45" s="16">
        <f>MIN(100,$E45*L45)</f>
        <v/>
      </c>
      <c r="N45" s="39" t="n">
        <v>0.01</v>
      </c>
      <c r="O45" s="12">
        <f>$C45*N45</f>
        <v/>
      </c>
      <c r="P45" s="15">
        <f>O45*$D45</f>
        <v/>
      </c>
      <c r="Q45" s="16">
        <f>MIN(100,$E45*P45)</f>
        <v/>
      </c>
      <c r="R45" s="39" t="n">
        <v>0.02</v>
      </c>
      <c r="S45" s="12">
        <f>$C45*R45</f>
        <v/>
      </c>
      <c r="T45" s="15">
        <f>S45*$D45</f>
        <v/>
      </c>
      <c r="U45" s="16">
        <f>MIN(100,$E45*T45)</f>
        <v/>
      </c>
      <c r="W45" s="12">
        <f>$C45*V45</f>
        <v/>
      </c>
      <c r="X45" s="15">
        <f>W45*$D45</f>
        <v/>
      </c>
      <c r="Y45" s="16">
        <f>MIN(100,$E45*X45)</f>
        <v/>
      </c>
      <c r="Z45" s="39" t="n">
        <v>0.1</v>
      </c>
      <c r="AA45" s="12">
        <f>$C45*Z45</f>
        <v/>
      </c>
      <c r="AB45" s="15">
        <f>AA45*$D45</f>
        <v/>
      </c>
      <c r="AC45" s="16">
        <f>MIN(100,$E45*AB45)</f>
        <v/>
      </c>
    </row>
    <row r="46" customFormat="1" s="39">
      <c r="A46" s="34">
        <f>'2_MechAdd_Script'!A46</f>
        <v/>
      </c>
      <c r="B46" t="inlineStr">
        <is>
          <t>2Herb_Cover</t>
        </is>
      </c>
      <c r="C46" s="4" t="n">
        <v>0.75</v>
      </c>
      <c r="D46" s="5" t="n">
        <v>1.25</v>
      </c>
      <c r="E46" s="31" t="n">
        <v>1.25</v>
      </c>
      <c r="F46" s="39" t="n">
        <v>0.2</v>
      </c>
      <c r="G46" s="12">
        <f>$C46*F46</f>
        <v/>
      </c>
      <c r="H46" s="15">
        <f>MIN(100,G46*$D46)</f>
        <v/>
      </c>
      <c r="I46" s="16">
        <f>MIN(100,$E46*H46)</f>
        <v/>
      </c>
      <c r="K46" s="12">
        <f>$C46*J46</f>
        <v/>
      </c>
      <c r="L46" s="15">
        <f>MIN(100,K46*$D46)</f>
        <v/>
      </c>
      <c r="M46" s="16">
        <f>MIN(100,$E46*L46)</f>
        <v/>
      </c>
      <c r="N46" s="39" t="n">
        <v>8</v>
      </c>
      <c r="O46" s="12">
        <f>$C46*N46</f>
        <v/>
      </c>
      <c r="P46" s="15">
        <f>MIN(100,O46*$D46)</f>
        <v/>
      </c>
      <c r="Q46" s="16">
        <f>MIN(100,$E46*P46)</f>
        <v/>
      </c>
      <c r="R46" s="39" t="n">
        <v>5</v>
      </c>
      <c r="S46" s="12">
        <f>$C46*R46</f>
        <v/>
      </c>
      <c r="T46" s="15">
        <f>MIN(100,S46*$D46)</f>
        <v/>
      </c>
      <c r="U46" s="16">
        <f>MIN(100,$E46*T46)</f>
        <v/>
      </c>
      <c r="W46" s="12">
        <f>$C46*V46</f>
        <v/>
      </c>
      <c r="X46" s="15">
        <f>MIN(100,W46*$D46)</f>
        <v/>
      </c>
      <c r="Y46" s="16">
        <f>MIN(100,$E46*X46)</f>
        <v/>
      </c>
      <c r="Z46" s="39" t="n">
        <v>20</v>
      </c>
      <c r="AA46" s="12">
        <f>$C46*Z46</f>
        <v/>
      </c>
      <c r="AB46" s="15">
        <f>MIN(100,AA46*$D46)</f>
        <v/>
      </c>
      <c r="AC46" s="16">
        <f>MIN(100,$E46*AB46)</f>
        <v/>
      </c>
    </row>
    <row r="47" customFormat="1" s="39">
      <c r="A47" s="34">
        <f>'2_MechAdd_Script'!A47</f>
        <v/>
      </c>
      <c r="B47" t="inlineStr">
        <is>
          <t>2Herb_Live</t>
        </is>
      </c>
      <c r="C47" s="4" t="n">
        <v>0.75</v>
      </c>
      <c r="D47" s="5">
        <f>1/0.75</f>
        <v/>
      </c>
      <c r="E47" s="32" t="n"/>
      <c r="F47" s="39" t="n">
        <v>85</v>
      </c>
      <c r="G47" s="12">
        <f>$C47*F47</f>
        <v/>
      </c>
      <c r="H47" s="15">
        <f>G47*$D47</f>
        <v/>
      </c>
      <c r="I47" s="16">
        <f>H47</f>
        <v/>
      </c>
      <c r="K47" s="12">
        <f>$C47*J47</f>
        <v/>
      </c>
      <c r="L47" s="15">
        <f>K47*$D47</f>
        <v/>
      </c>
      <c r="M47" s="16">
        <f>L47</f>
        <v/>
      </c>
      <c r="N47" s="39" t="n">
        <v>70</v>
      </c>
      <c r="O47" s="12">
        <f>$C47*N47</f>
        <v/>
      </c>
      <c r="P47" s="15">
        <f>O47*$D47</f>
        <v/>
      </c>
      <c r="Q47" s="16">
        <f>P47</f>
        <v/>
      </c>
      <c r="R47" s="39" t="n">
        <v>90</v>
      </c>
      <c r="S47" s="12">
        <f>$C47*R47</f>
        <v/>
      </c>
      <c r="T47" s="15">
        <f>S47*$D47</f>
        <v/>
      </c>
      <c r="U47" s="16">
        <f>T47</f>
        <v/>
      </c>
      <c r="W47" s="12">
        <f>$C47*V47</f>
        <v/>
      </c>
      <c r="X47" s="15">
        <f>W47*$D47</f>
        <v/>
      </c>
      <c r="Y47" s="16">
        <f>X47</f>
        <v/>
      </c>
      <c r="Z47" s="39" t="n">
        <v>60</v>
      </c>
      <c r="AA47" s="12">
        <f>$C47*Z47</f>
        <v/>
      </c>
      <c r="AB47" s="15">
        <f>AA47*$D47</f>
        <v/>
      </c>
      <c r="AC47" s="16">
        <f>AB47</f>
        <v/>
      </c>
    </row>
    <row r="48" customFormat="1" s="39">
      <c r="A48" s="34">
        <f>'2_MechAdd_Script'!A48</f>
        <v/>
      </c>
      <c r="B48" t="inlineStr">
        <is>
          <t>FineWood_Depth</t>
        </is>
      </c>
      <c r="C48" s="4" t="n">
        <v>1.25</v>
      </c>
      <c r="D48" s="5" t="n">
        <v>0.75</v>
      </c>
      <c r="E48" s="32" t="n">
        <v>0.5</v>
      </c>
      <c r="F48" s="39" t="n">
        <v>4</v>
      </c>
      <c r="G48" s="12">
        <f>$C48*F48</f>
        <v/>
      </c>
      <c r="H48" s="15">
        <f>G48*$D48</f>
        <v/>
      </c>
      <c r="I48" s="16">
        <f>$E48*H48</f>
        <v/>
      </c>
      <c r="J48" s="39" t="n">
        <v>1</v>
      </c>
      <c r="K48" s="12">
        <f>$C48*J48</f>
        <v/>
      </c>
      <c r="L48" s="15">
        <f>K48*$D48</f>
        <v/>
      </c>
      <c r="M48" s="16">
        <f>$E48*L48</f>
        <v/>
      </c>
      <c r="O48" s="12">
        <f>$C48*N48</f>
        <v/>
      </c>
      <c r="P48" s="15">
        <f>O48*$D48</f>
        <v/>
      </c>
      <c r="Q48" s="16">
        <f>$E48*P48</f>
        <v/>
      </c>
      <c r="R48" s="39" t="n">
        <v>0.5</v>
      </c>
      <c r="S48" s="12">
        <f>$C48*R48</f>
        <v/>
      </c>
      <c r="T48" s="15">
        <f>S48*$D48</f>
        <v/>
      </c>
      <c r="U48" s="16">
        <f>$E48*T48</f>
        <v/>
      </c>
      <c r="V48" s="39" t="n">
        <v>1</v>
      </c>
      <c r="W48" s="12">
        <f>$C48*V48</f>
        <v/>
      </c>
      <c r="X48" s="15">
        <f>W48*$D48</f>
        <v/>
      </c>
      <c r="Y48" s="16">
        <f>$E48*X48</f>
        <v/>
      </c>
      <c r="Z48" s="39" t="n">
        <v>0.5</v>
      </c>
      <c r="AA48" s="12">
        <f>$C48*Z48</f>
        <v/>
      </c>
      <c r="AB48" s="15">
        <f>AA48*$D48</f>
        <v/>
      </c>
      <c r="AC48" s="16">
        <f>$E48*AB48</f>
        <v/>
      </c>
    </row>
    <row r="49" customFormat="1" s="39">
      <c r="A49" s="34">
        <f>'2_MechAdd_Script'!A49</f>
        <v/>
      </c>
      <c r="B49" t="inlineStr">
        <is>
          <t>FineWood_Cover</t>
        </is>
      </c>
      <c r="C49" s="4" t="n">
        <v>1.25</v>
      </c>
      <c r="D49" s="5" t="n">
        <v>0.75</v>
      </c>
      <c r="E49" s="32" t="n">
        <v>0.5</v>
      </c>
      <c r="F49" s="39" t="n">
        <v>70</v>
      </c>
      <c r="G49" s="12">
        <f>MIN(100,$C49*F49)</f>
        <v/>
      </c>
      <c r="H49" s="15">
        <f>MIN(100,G49*$D49)</f>
        <v/>
      </c>
      <c r="I49" s="16">
        <f>MIN(100,$E49*H49)</f>
        <v/>
      </c>
      <c r="J49" s="39" t="n">
        <v>50</v>
      </c>
      <c r="K49" s="12">
        <f>MIN(100,$C49*J49)</f>
        <v/>
      </c>
      <c r="L49" s="15">
        <f>MIN(100,K49*$D49)</f>
        <v/>
      </c>
      <c r="M49" s="16">
        <f>MIN(100,$E49*L49)</f>
        <v/>
      </c>
      <c r="O49" s="12">
        <f>MIN(100,$C49*N49)</f>
        <v/>
      </c>
      <c r="P49" s="15">
        <f>MIN(100,O49*$D49)</f>
        <v/>
      </c>
      <c r="Q49" s="16">
        <f>MIN(100,$E49*P49)</f>
        <v/>
      </c>
      <c r="R49" s="39" t="n">
        <v>30</v>
      </c>
      <c r="S49" s="12">
        <f>MIN(100,$C49*R49)</f>
        <v/>
      </c>
      <c r="T49" s="15">
        <f>MIN(100,S49*$D49)</f>
        <v/>
      </c>
      <c r="U49" s="16">
        <f>MIN(100,$E49*T49)</f>
        <v/>
      </c>
      <c r="V49" s="39" t="n">
        <v>40</v>
      </c>
      <c r="W49" s="12">
        <f>MIN(100,$C49*V49)</f>
        <v/>
      </c>
      <c r="X49" s="15">
        <f>MIN(100,W49*$D49)</f>
        <v/>
      </c>
      <c r="Y49" s="16">
        <f>MIN(100,$E49*X49)</f>
        <v/>
      </c>
      <c r="Z49" s="39" t="n">
        <v>15</v>
      </c>
      <c r="AA49" s="12">
        <f>MIN(100,$C49*Z49)</f>
        <v/>
      </c>
      <c r="AB49" s="15">
        <f>MIN(100,AA49*$D49)</f>
        <v/>
      </c>
      <c r="AC49" s="16">
        <f>MIN(100,$E49*AB49)</f>
        <v/>
      </c>
    </row>
    <row r="50" customFormat="1" s="39">
      <c r="A50" s="34">
        <f>'2_MechAdd_Script'!A50</f>
        <v/>
      </c>
      <c r="B50" t="inlineStr">
        <is>
          <t>SWood_100hr</t>
        </is>
      </c>
      <c r="C50" s="4" t="n">
        <v>1.25</v>
      </c>
      <c r="D50" s="5" t="n">
        <v>0.75</v>
      </c>
      <c r="E50" s="32" t="n">
        <v>0.5</v>
      </c>
      <c r="F50" s="39" t="n">
        <v>2</v>
      </c>
      <c r="G50" s="12">
        <f>MAX(0.5,$C50*F50)</f>
        <v/>
      </c>
      <c r="H50" s="15">
        <f>G50*$D50</f>
        <v/>
      </c>
      <c r="I50" s="16">
        <f>$E50*H50</f>
        <v/>
      </c>
      <c r="J50" s="39" t="n">
        <v>1</v>
      </c>
      <c r="K50" s="12">
        <f>MAX(0.5,$C50*J50)</f>
        <v/>
      </c>
      <c r="L50" s="15">
        <f>K50*$D50</f>
        <v/>
      </c>
      <c r="M50" s="16">
        <f>$E50*L50</f>
        <v/>
      </c>
      <c r="O50" s="12">
        <f>MAX(0.5,$C50*N50)</f>
        <v/>
      </c>
      <c r="P50" s="15">
        <f>O50*$D50</f>
        <v/>
      </c>
      <c r="Q50" s="16">
        <f>$E50*P50</f>
        <v/>
      </c>
      <c r="R50" s="39" t="n">
        <v>0.5</v>
      </c>
      <c r="S50" s="12">
        <f>MAX(0.5,$C50*R50)</f>
        <v/>
      </c>
      <c r="T50" s="15">
        <f>S50*$D50</f>
        <v/>
      </c>
      <c r="U50" s="16">
        <f>$E50*T50</f>
        <v/>
      </c>
      <c r="V50" s="39" t="n">
        <v>1</v>
      </c>
      <c r="W50" s="12">
        <f>MAX(0.5,$C50*V50)</f>
        <v/>
      </c>
      <c r="X50" s="15">
        <f>W50*$D50</f>
        <v/>
      </c>
      <c r="Y50" s="16">
        <f>$E50*X50</f>
        <v/>
      </c>
      <c r="Z50" s="39" t="n">
        <v>0.3</v>
      </c>
      <c r="AA50" s="12">
        <f>MAX(0.5,$C50*Z50)</f>
        <v/>
      </c>
      <c r="AB50" s="15">
        <f>AA50*$D50</f>
        <v/>
      </c>
      <c r="AC50" s="16">
        <f>$E50*AB50</f>
        <v/>
      </c>
    </row>
    <row r="51" customFormat="1" s="39">
      <c r="A51" s="34">
        <f>'2_MechAdd_Script'!A51</f>
        <v/>
      </c>
      <c r="B51" t="inlineStr">
        <is>
          <t>SWood_10hr</t>
        </is>
      </c>
      <c r="C51" s="4" t="n">
        <v>1.25</v>
      </c>
      <c r="D51" s="5" t="n">
        <v>0.75</v>
      </c>
      <c r="E51" s="32" t="n">
        <v>0.5</v>
      </c>
      <c r="F51" s="39" t="n">
        <v>1.5</v>
      </c>
      <c r="G51" s="12">
        <f>MAX(1,$C51*F51)</f>
        <v/>
      </c>
      <c r="H51" s="15">
        <f>G51*$D51</f>
        <v/>
      </c>
      <c r="I51" s="16">
        <f>$E51*H51</f>
        <v/>
      </c>
      <c r="J51" s="39" t="n">
        <v>1</v>
      </c>
      <c r="K51" s="12">
        <f>MAX(1,$C51*J51)</f>
        <v/>
      </c>
      <c r="L51" s="15">
        <f>K51*$D51</f>
        <v/>
      </c>
      <c r="M51" s="16">
        <f>$E51*L51</f>
        <v/>
      </c>
      <c r="O51" s="12">
        <f>MAX(1,$C51*N51)</f>
        <v/>
      </c>
      <c r="P51" s="15">
        <f>O51*$D51</f>
        <v/>
      </c>
      <c r="Q51" s="16">
        <f>$E51*P51</f>
        <v/>
      </c>
      <c r="R51" s="39" t="n">
        <v>0.2</v>
      </c>
      <c r="S51" s="12">
        <f>MAX(1,$C51*R51)</f>
        <v/>
      </c>
      <c r="T51" s="15">
        <f>S51*$D51</f>
        <v/>
      </c>
      <c r="U51" s="16">
        <f>$E51*T51</f>
        <v/>
      </c>
      <c r="V51" s="39" t="n">
        <v>0.5</v>
      </c>
      <c r="W51" s="12">
        <f>MAX(1,$C51*V51)</f>
        <v/>
      </c>
      <c r="X51" s="15">
        <f>W51*$D51</f>
        <v/>
      </c>
      <c r="Y51" s="16">
        <f>$E51*X51</f>
        <v/>
      </c>
      <c r="Z51" s="39" t="n">
        <v>0.4</v>
      </c>
      <c r="AA51" s="12">
        <f>MAX(1,$C51*Z51)</f>
        <v/>
      </c>
      <c r="AB51" s="15">
        <f>AA51*$D51</f>
        <v/>
      </c>
      <c r="AC51" s="16">
        <f>$E51*AB51</f>
        <v/>
      </c>
    </row>
    <row r="52" customFormat="1" s="39">
      <c r="A52" s="34">
        <f>'2_MechAdd_Script'!A52</f>
        <v/>
      </c>
      <c r="B52" t="inlineStr">
        <is>
          <t>SWood_1hr</t>
        </is>
      </c>
      <c r="C52" s="4" t="n">
        <v>1.25</v>
      </c>
      <c r="D52" s="5" t="n">
        <v>0.75</v>
      </c>
      <c r="E52" s="32" t="n">
        <v>0.5</v>
      </c>
      <c r="F52" s="39" t="n">
        <v>1</v>
      </c>
      <c r="G52" s="12">
        <f>MAX(0.5,$C52*F52)</f>
        <v/>
      </c>
      <c r="H52" s="15">
        <f>G52*$D52</f>
        <v/>
      </c>
      <c r="I52" s="16">
        <f>$E52*H52</f>
        <v/>
      </c>
      <c r="J52" s="39" t="n">
        <v>0.5</v>
      </c>
      <c r="K52" s="12">
        <f>MAX(0.5,$C52*J52)</f>
        <v/>
      </c>
      <c r="L52" s="15">
        <f>K52*$D52</f>
        <v/>
      </c>
      <c r="M52" s="16">
        <f>$E52*L52</f>
        <v/>
      </c>
      <c r="O52" s="12">
        <f>MAX(0.5,$C52*N52)</f>
        <v/>
      </c>
      <c r="P52" s="15">
        <f>O52*$D52</f>
        <v/>
      </c>
      <c r="Q52" s="16">
        <f>$E52*P52</f>
        <v/>
      </c>
      <c r="R52" s="39" t="n">
        <v>0.1</v>
      </c>
      <c r="S52" s="12">
        <f>MAX(0.5,$C52*R52)</f>
        <v/>
      </c>
      <c r="T52" s="15">
        <f>S52*$D52</f>
        <v/>
      </c>
      <c r="U52" s="16">
        <f>$E52*T52</f>
        <v/>
      </c>
      <c r="V52" s="39" t="n">
        <v>0.3</v>
      </c>
      <c r="W52" s="12">
        <f>MAX(0.5,$C52*V52)</f>
        <v/>
      </c>
      <c r="X52" s="15">
        <f>W52*$D52</f>
        <v/>
      </c>
      <c r="Y52" s="16">
        <f>$E52*X52</f>
        <v/>
      </c>
      <c r="Z52" s="39" t="n">
        <v>0.02</v>
      </c>
      <c r="AA52" s="12">
        <f>MAX(0.5,$C52*Z52)</f>
        <v/>
      </c>
      <c r="AB52" s="15">
        <f>AA52*$D52</f>
        <v/>
      </c>
      <c r="AC52" s="16">
        <f>$E52*AB52</f>
        <v/>
      </c>
    </row>
    <row r="53" customFormat="1" s="39">
      <c r="A53" s="34">
        <f>'2_MechAdd_Script'!A53</f>
        <v/>
      </c>
      <c r="B53" t="inlineStr">
        <is>
          <t>SWood_1000hr</t>
        </is>
      </c>
      <c r="C53" s="4" t="n"/>
      <c r="D53" s="5" t="n">
        <v>0.75</v>
      </c>
      <c r="E53" s="32" t="n"/>
      <c r="F53" s="39" t="n">
        <v>6</v>
      </c>
      <c r="G53" s="12">
        <f>F53</f>
        <v/>
      </c>
      <c r="H53" s="15">
        <f>G53*$D53</f>
        <v/>
      </c>
      <c r="I53" s="44">
        <f>H53</f>
        <v/>
      </c>
      <c r="J53" s="39" t="n">
        <v>0</v>
      </c>
      <c r="K53" s="12">
        <f>J53</f>
        <v/>
      </c>
      <c r="L53" s="15">
        <f>K53*$D53</f>
        <v/>
      </c>
      <c r="M53" s="44">
        <f>L53</f>
        <v/>
      </c>
      <c r="O53" s="12">
        <f>N53</f>
        <v/>
      </c>
      <c r="P53" s="15">
        <f>O53*$D53</f>
        <v/>
      </c>
      <c r="Q53" s="44">
        <f>P53</f>
        <v/>
      </c>
      <c r="R53" s="39" t="n">
        <v>1</v>
      </c>
      <c r="S53" s="12">
        <f>R53</f>
        <v/>
      </c>
      <c r="T53" s="15">
        <f>S53*$D53</f>
        <v/>
      </c>
      <c r="U53" s="44">
        <f>T53</f>
        <v/>
      </c>
      <c r="V53" s="39" t="n">
        <v>1.2</v>
      </c>
      <c r="W53" s="12">
        <f>V53</f>
        <v/>
      </c>
      <c r="X53" s="15">
        <f>W53*$D53</f>
        <v/>
      </c>
      <c r="Y53" s="44">
        <f>X53</f>
        <v/>
      </c>
      <c r="Z53" s="39" t="n">
        <v>0.5</v>
      </c>
      <c r="AA53" s="12">
        <f>Z53</f>
        <v/>
      </c>
      <c r="AB53" s="15">
        <f>AA53*$D53</f>
        <v/>
      </c>
      <c r="AC53" s="44">
        <f>AB53</f>
        <v/>
      </c>
    </row>
    <row r="54" customFormat="1" s="39">
      <c r="A54" s="34">
        <f>'2_MechAdd_Script'!A54</f>
        <v/>
      </c>
      <c r="B54" t="inlineStr">
        <is>
          <t>SWood_10_000hr</t>
        </is>
      </c>
      <c r="C54" s="4" t="n"/>
      <c r="D54" s="5" t="n">
        <v>0.75</v>
      </c>
      <c r="E54" s="32" t="n"/>
      <c r="F54" s="39" t="n">
        <v>12</v>
      </c>
      <c r="G54" s="12">
        <f>F54</f>
        <v/>
      </c>
      <c r="H54" s="15">
        <f>G54*$D54</f>
        <v/>
      </c>
      <c r="I54" s="44">
        <f>H54</f>
        <v/>
      </c>
      <c r="J54" s="39" t="n">
        <v>0</v>
      </c>
      <c r="K54" s="12">
        <f>J54</f>
        <v/>
      </c>
      <c r="L54" s="15">
        <f>K54*$D54</f>
        <v/>
      </c>
      <c r="M54" s="44">
        <f>L54</f>
        <v/>
      </c>
      <c r="O54" s="12">
        <f>N54</f>
        <v/>
      </c>
      <c r="P54" s="15">
        <f>O54*$D54</f>
        <v/>
      </c>
      <c r="Q54" s="44">
        <f>P54</f>
        <v/>
      </c>
      <c r="R54" s="39" t="n">
        <v>0</v>
      </c>
      <c r="S54" s="12">
        <f>R54</f>
        <v/>
      </c>
      <c r="T54" s="15">
        <f>S54*$D54</f>
        <v/>
      </c>
      <c r="U54" s="44">
        <f>T54</f>
        <v/>
      </c>
      <c r="V54" s="39" t="n">
        <v>0.5</v>
      </c>
      <c r="W54" s="12">
        <f>V54</f>
        <v/>
      </c>
      <c r="X54" s="15">
        <f>W54*$D54</f>
        <v/>
      </c>
      <c r="Y54" s="44">
        <f>X54</f>
        <v/>
      </c>
      <c r="Z54" s="39" t="n">
        <v>0</v>
      </c>
      <c r="AA54" s="12">
        <f>Z54</f>
        <v/>
      </c>
      <c r="AB54" s="15">
        <f>AA54*$D54</f>
        <v/>
      </c>
      <c r="AC54" s="44">
        <f>AB54</f>
        <v/>
      </c>
    </row>
    <row r="55" customFormat="1" s="39">
      <c r="A55" s="34">
        <f>'2_MechAdd_Script'!A55</f>
        <v/>
      </c>
      <c r="B55" t="inlineStr">
        <is>
          <t>SWood_GT10_000hr</t>
        </is>
      </c>
      <c r="C55" s="4" t="n"/>
      <c r="D55" s="5" t="n">
        <v>0.75</v>
      </c>
      <c r="E55" s="32" t="n"/>
      <c r="F55" s="39" t="n">
        <v>0</v>
      </c>
      <c r="G55" s="12">
        <f>F55</f>
        <v/>
      </c>
      <c r="H55" s="15">
        <f>G55*$D55</f>
        <v/>
      </c>
      <c r="I55" s="44">
        <f>H55</f>
        <v/>
      </c>
      <c r="J55" s="39" t="n">
        <v>0</v>
      </c>
      <c r="K55" s="12">
        <f>J55</f>
        <v/>
      </c>
      <c r="L55" s="15">
        <f>K55*$D55</f>
        <v/>
      </c>
      <c r="M55" s="44">
        <f>L55</f>
        <v/>
      </c>
      <c r="O55" s="12">
        <f>N55</f>
        <v/>
      </c>
      <c r="P55" s="15">
        <f>O55*$D55</f>
        <v/>
      </c>
      <c r="Q55" s="44">
        <f>P55</f>
        <v/>
      </c>
      <c r="R55" s="39" t="n">
        <v>0</v>
      </c>
      <c r="S55" s="12">
        <f>R55</f>
        <v/>
      </c>
      <c r="T55" s="15">
        <f>S55*$D55</f>
        <v/>
      </c>
      <c r="U55" s="44">
        <f>T55</f>
        <v/>
      </c>
      <c r="V55" s="39" t="n">
        <v>0.5</v>
      </c>
      <c r="W55" s="12">
        <f>V55</f>
        <v/>
      </c>
      <c r="X55" s="15">
        <f>W55*$D55</f>
        <v/>
      </c>
      <c r="Y55" s="44">
        <f>X55</f>
        <v/>
      </c>
      <c r="Z55" s="39" t="n">
        <v>0</v>
      </c>
      <c r="AA55" s="12">
        <f>Z55</f>
        <v/>
      </c>
      <c r="AB55" s="15">
        <f>AA55*$D55</f>
        <v/>
      </c>
      <c r="AC55" s="44">
        <f>AB55</f>
        <v/>
      </c>
    </row>
    <row r="56" customFormat="1" s="39">
      <c r="A56" s="34">
        <f>'2_MechAdd_Script'!A56</f>
        <v/>
      </c>
      <c r="B56" t="inlineStr">
        <is>
          <t>RWood_1000hr</t>
        </is>
      </c>
      <c r="C56" s="4" t="n"/>
      <c r="D56" s="5" t="n">
        <v>0.25</v>
      </c>
      <c r="E56" s="32" t="n">
        <v>0.5</v>
      </c>
      <c r="F56" s="39" t="n">
        <v>5</v>
      </c>
      <c r="G56" s="12">
        <f>F56</f>
        <v/>
      </c>
      <c r="H56" s="15">
        <f>(G53*$D56)+G56</f>
        <v/>
      </c>
      <c r="I56" s="45">
        <f>(H53*$E56)+H56</f>
        <v/>
      </c>
      <c r="K56" s="12">
        <f>J56</f>
        <v/>
      </c>
      <c r="L56" s="15">
        <f>(K53*$D56)+K56</f>
        <v/>
      </c>
      <c r="M56" s="45">
        <f>(L53*$E56)+L56</f>
        <v/>
      </c>
      <c r="O56" s="12">
        <f>N56</f>
        <v/>
      </c>
      <c r="P56" s="15">
        <f>(O53*$D56)+O56</f>
        <v/>
      </c>
      <c r="Q56" s="45">
        <f>(P53*$E56)+P56</f>
        <v/>
      </c>
      <c r="R56" s="39" t="n">
        <v>0.5</v>
      </c>
      <c r="S56" s="12">
        <f>R56</f>
        <v/>
      </c>
      <c r="T56" s="15">
        <f>(S53*$D56)+S56</f>
        <v/>
      </c>
      <c r="U56" s="45">
        <f>(T53*$E56)+T56</f>
        <v/>
      </c>
      <c r="V56" s="39" t="n">
        <v>0.75</v>
      </c>
      <c r="W56" s="12">
        <f>V56</f>
        <v/>
      </c>
      <c r="X56" s="15">
        <f>(W53*$D56)+W56</f>
        <v/>
      </c>
      <c r="Y56" s="45">
        <f>(X53*$E56)+X56</f>
        <v/>
      </c>
      <c r="AA56" s="12">
        <f>Z56</f>
        <v/>
      </c>
      <c r="AB56" s="15">
        <f>(AA53*$D56)+AA56</f>
        <v/>
      </c>
      <c r="AC56" s="45">
        <f>(AB53*$E56)+AB56</f>
        <v/>
      </c>
    </row>
    <row r="57" customFormat="1" s="39">
      <c r="A57" s="34">
        <f>'2_MechAdd_Script'!A57</f>
        <v/>
      </c>
      <c r="B57" t="inlineStr">
        <is>
          <t>RWood_10_000hr</t>
        </is>
      </c>
      <c r="C57" s="4" t="n"/>
      <c r="D57" s="5" t="n">
        <v>0.25</v>
      </c>
      <c r="E57" s="32" t="n">
        <v>0.5</v>
      </c>
      <c r="F57" s="39" t="n">
        <v>11</v>
      </c>
      <c r="G57" s="12">
        <f>F57</f>
        <v/>
      </c>
      <c r="H57" s="15">
        <f>(G54*$D57)+G57</f>
        <v/>
      </c>
      <c r="I57" s="45">
        <f>(H54*$E57)+H57</f>
        <v/>
      </c>
      <c r="K57" s="12">
        <f>J57</f>
        <v/>
      </c>
      <c r="L57" s="15">
        <f>(K54*$D57)+K57</f>
        <v/>
      </c>
      <c r="M57" s="45">
        <f>(L54*$E57)+L57</f>
        <v/>
      </c>
      <c r="O57" s="12">
        <f>N57</f>
        <v/>
      </c>
      <c r="P57" s="15">
        <f>(O54*$D57)+O57</f>
        <v/>
      </c>
      <c r="Q57" s="45">
        <f>(P54*$E57)+P57</f>
        <v/>
      </c>
      <c r="R57" s="39" t="n">
        <v>0</v>
      </c>
      <c r="S57" s="12">
        <f>R57</f>
        <v/>
      </c>
      <c r="T57" s="15">
        <f>(S54*$D57)+S57</f>
        <v/>
      </c>
      <c r="U57" s="45">
        <f>(T54*$E57)+T57</f>
        <v/>
      </c>
      <c r="V57" s="39" t="n">
        <v>0.3</v>
      </c>
      <c r="W57" s="12">
        <f>V57</f>
        <v/>
      </c>
      <c r="X57" s="15">
        <f>(W54*$D57)+W57</f>
        <v/>
      </c>
      <c r="Y57" s="45">
        <f>(X54*$E57)+X57</f>
        <v/>
      </c>
      <c r="AA57" s="12">
        <f>Z57</f>
        <v/>
      </c>
      <c r="AB57" s="15">
        <f>(AA54*$D57)+AA57</f>
        <v/>
      </c>
      <c r="AC57" s="45">
        <f>(AB54*$E57)+AB57</f>
        <v/>
      </c>
    </row>
    <row r="58" customFormat="1" s="39">
      <c r="A58" s="34">
        <f>'2_MechAdd_Script'!A58</f>
        <v/>
      </c>
      <c r="B58" t="inlineStr">
        <is>
          <t>RWood_GT10_000hr</t>
        </is>
      </c>
      <c r="C58" s="4" t="n"/>
      <c r="D58" s="5" t="n">
        <v>0.25</v>
      </c>
      <c r="E58" s="32" t="n">
        <v>0.5</v>
      </c>
      <c r="F58" s="39" t="n">
        <v>0</v>
      </c>
      <c r="G58" s="12">
        <f>F58</f>
        <v/>
      </c>
      <c r="H58" s="15">
        <f>(G55*$D58)+G58</f>
        <v/>
      </c>
      <c r="I58" s="45">
        <f>(H55*$E58)+H58</f>
        <v/>
      </c>
      <c r="K58" s="12">
        <f>J58</f>
        <v/>
      </c>
      <c r="L58" s="15">
        <f>(K55*$D58)+K58</f>
        <v/>
      </c>
      <c r="M58" s="45">
        <f>(L55*$E58)+L58</f>
        <v/>
      </c>
      <c r="O58" s="12">
        <f>N58</f>
        <v/>
      </c>
      <c r="P58" s="15">
        <f>(O55*$D58)+O58</f>
        <v/>
      </c>
      <c r="Q58" s="45">
        <f>(P55*$E58)+P58</f>
        <v/>
      </c>
      <c r="R58" s="39" t="n">
        <v>0</v>
      </c>
      <c r="S58" s="12">
        <f>R58</f>
        <v/>
      </c>
      <c r="T58" s="15">
        <f>(S55*$D58)+S58</f>
        <v/>
      </c>
      <c r="U58" s="45">
        <f>(T55*$E58)+T58</f>
        <v/>
      </c>
      <c r="V58" s="39" t="n">
        <v>0</v>
      </c>
      <c r="W58" s="12">
        <f>V58</f>
        <v/>
      </c>
      <c r="X58" s="15">
        <f>(W55*$D58)+W58</f>
        <v/>
      </c>
      <c r="Y58" s="45">
        <f>(X55*$E58)+X58</f>
        <v/>
      </c>
      <c r="AA58" s="12">
        <f>Z58</f>
        <v/>
      </c>
      <c r="AB58" s="15">
        <f>(AA55*$D58)+AA58</f>
        <v/>
      </c>
      <c r="AC58" s="45">
        <f>(AB55*$E58)+AB58</f>
        <v/>
      </c>
    </row>
    <row r="59" customFormat="1" s="39">
      <c r="A59" s="34">
        <f>'2_MechAdd_Script'!A59</f>
        <v/>
      </c>
      <c r="B59" t="inlineStr">
        <is>
          <t>SStump_Diameter</t>
        </is>
      </c>
      <c r="C59" s="4" t="n"/>
      <c r="D59" s="5" t="n"/>
      <c r="E59" s="32" t="n">
        <v>0</v>
      </c>
      <c r="F59" s="39" t="n">
        <v>9.6</v>
      </c>
      <c r="G59" s="12">
        <f>F59</f>
        <v/>
      </c>
      <c r="H59" s="15">
        <f>G59</f>
        <v/>
      </c>
      <c r="I59" s="16">
        <f>$E59*H59</f>
        <v/>
      </c>
      <c r="K59" s="12">
        <f>J59</f>
        <v/>
      </c>
      <c r="L59" s="15">
        <f>K59</f>
        <v/>
      </c>
      <c r="M59" s="16">
        <f>$E59*L59</f>
        <v/>
      </c>
      <c r="O59" s="12">
        <f>N59</f>
        <v/>
      </c>
      <c r="P59" s="15">
        <f>O59</f>
        <v/>
      </c>
      <c r="Q59" s="16">
        <f>$E59*P59</f>
        <v/>
      </c>
      <c r="R59" s="39" t="n">
        <v>3.5</v>
      </c>
      <c r="S59" s="12">
        <f>R59</f>
        <v/>
      </c>
      <c r="T59" s="15">
        <f>S59</f>
        <v/>
      </c>
      <c r="U59" s="16">
        <f>$E59*T59</f>
        <v/>
      </c>
      <c r="W59" s="12">
        <f>V59</f>
        <v/>
      </c>
      <c r="X59" s="15">
        <f>W59</f>
        <v/>
      </c>
      <c r="Y59" s="16">
        <f>$E59*X59</f>
        <v/>
      </c>
      <c r="AA59" s="12">
        <f>Z59</f>
        <v/>
      </c>
      <c r="AB59" s="15">
        <f>AA59</f>
        <v/>
      </c>
      <c r="AC59" s="16">
        <f>$E59*AB59</f>
        <v/>
      </c>
    </row>
    <row r="60" customFormat="1" s="39">
      <c r="A60" s="34">
        <f>'2_MechAdd_Script'!A60</f>
        <v/>
      </c>
      <c r="B60" t="inlineStr">
        <is>
          <t>SStump_Height</t>
        </is>
      </c>
      <c r="C60" s="4" t="n"/>
      <c r="D60" s="5" t="n"/>
      <c r="E60" s="32" t="n">
        <v>0</v>
      </c>
      <c r="F60" s="39" t="n">
        <v>0.4</v>
      </c>
      <c r="G60" s="12">
        <f>F60</f>
        <v/>
      </c>
      <c r="H60" s="15">
        <f>G60</f>
        <v/>
      </c>
      <c r="I60" s="16">
        <f>$E60*H60</f>
        <v/>
      </c>
      <c r="K60" s="12">
        <f>J60</f>
        <v/>
      </c>
      <c r="L60" s="15">
        <f>K60</f>
        <v/>
      </c>
      <c r="M60" s="16">
        <f>$E60*L60</f>
        <v/>
      </c>
      <c r="O60" s="12">
        <f>N60</f>
        <v/>
      </c>
      <c r="P60" s="15">
        <f>O60</f>
        <v/>
      </c>
      <c r="Q60" s="16">
        <f>$E60*P60</f>
        <v/>
      </c>
      <c r="R60" s="39" t="n">
        <v>2</v>
      </c>
      <c r="S60" s="12">
        <f>R60</f>
        <v/>
      </c>
      <c r="T60" s="15">
        <f>S60</f>
        <v/>
      </c>
      <c r="U60" s="16">
        <f>$E60*T60</f>
        <v/>
      </c>
      <c r="W60" s="12">
        <f>V60</f>
        <v/>
      </c>
      <c r="X60" s="15">
        <f>W60</f>
        <v/>
      </c>
      <c r="Y60" s="16">
        <f>$E60*X60</f>
        <v/>
      </c>
      <c r="AA60" s="12">
        <f>Z60</f>
        <v/>
      </c>
      <c r="AB60" s="15">
        <f>AA60</f>
        <v/>
      </c>
      <c r="AC60" s="16">
        <f>$E60*AB60</f>
        <v/>
      </c>
    </row>
    <row r="61" customFormat="1" s="39">
      <c r="A61" s="34">
        <f>'2_MechAdd_Script'!A61</f>
        <v/>
      </c>
      <c r="B61" t="inlineStr">
        <is>
          <t>SStump_Density</t>
        </is>
      </c>
      <c r="C61" s="4" t="n">
        <v>0.25</v>
      </c>
      <c r="D61" s="5" t="n"/>
      <c r="E61" s="32" t="n">
        <v>0</v>
      </c>
      <c r="F61" s="39" t="n">
        <v>115</v>
      </c>
      <c r="G61" s="12">
        <f>F61+(F7*0.25)+(F12*0.25)</f>
        <v/>
      </c>
      <c r="H61" s="15">
        <f>G61</f>
        <v/>
      </c>
      <c r="I61" s="16">
        <f>$E61*H61</f>
        <v/>
      </c>
      <c r="K61" s="12">
        <f>J61+(J7*0.25)+(J12*0.25)</f>
        <v/>
      </c>
      <c r="L61" s="15">
        <f>K61</f>
        <v/>
      </c>
      <c r="M61" s="16">
        <f>$E61*L61</f>
        <v/>
      </c>
      <c r="O61" s="12">
        <f>N61+(N7*0.25)+(N12*0.25)</f>
        <v/>
      </c>
      <c r="P61" s="15">
        <f>O61</f>
        <v/>
      </c>
      <c r="Q61" s="16">
        <f>$E61*P61</f>
        <v/>
      </c>
      <c r="R61" s="39" t="n">
        <v>50</v>
      </c>
      <c r="S61" s="12">
        <f>R61+(R7*0.25)+(R12*0.25)</f>
        <v/>
      </c>
      <c r="T61" s="15">
        <f>S61</f>
        <v/>
      </c>
      <c r="U61" s="16">
        <f>$E61*T61</f>
        <v/>
      </c>
      <c r="W61" s="12">
        <f>V61+(V7*0.25)+(V12*0.25)</f>
        <v/>
      </c>
      <c r="X61" s="15">
        <f>W61</f>
        <v/>
      </c>
      <c r="Y61" s="16">
        <f>$E61*X61</f>
        <v/>
      </c>
      <c r="AA61" s="12">
        <f>Z61+(Z7*0.25)+(Z12*0.25)</f>
        <v/>
      </c>
      <c r="AB61" s="15">
        <f>AA61</f>
        <v/>
      </c>
      <c r="AC61" s="16">
        <f>$E61*AB61</f>
        <v/>
      </c>
    </row>
    <row r="62" customFormat="1" s="39">
      <c r="A62" s="34">
        <f>'2_MechAdd_Script'!A62</f>
        <v/>
      </c>
      <c r="B62" t="inlineStr">
        <is>
          <t>RStump_Diameter</t>
        </is>
      </c>
      <c r="C62" s="36" t="n"/>
      <c r="D62" s="37" t="n"/>
      <c r="E62" s="38" t="n"/>
      <c r="F62" s="39" t="n">
        <v>9.6</v>
      </c>
      <c r="G62" s="40">
        <f>F62</f>
        <v/>
      </c>
      <c r="H62" s="41">
        <f>G62</f>
        <v/>
      </c>
      <c r="I62" s="42">
        <f>IF(H62&gt;0,H62,IF(H64+H61=0,0,H59))</f>
        <v/>
      </c>
      <c r="K62" s="40">
        <f>J62</f>
        <v/>
      </c>
      <c r="L62" s="41">
        <f>K62</f>
        <v/>
      </c>
      <c r="M62" s="42">
        <f>IF(L62&gt;0,L62,IF(L64+L61=0,0,L59))</f>
        <v/>
      </c>
      <c r="O62" s="40">
        <f>N62</f>
        <v/>
      </c>
      <c r="P62" s="41">
        <f>O62</f>
        <v/>
      </c>
      <c r="Q62" s="42">
        <f>IF(P62&gt;0,P62,IF(P64+P61=0,0,P59))</f>
        <v/>
      </c>
      <c r="R62" s="39" t="n">
        <v>3.5</v>
      </c>
      <c r="S62" s="40">
        <f>R62</f>
        <v/>
      </c>
      <c r="T62" s="41">
        <f>S62</f>
        <v/>
      </c>
      <c r="U62" s="42">
        <f>IF(T62&gt;0,T62,IF(T64+T61=0,0,T59))</f>
        <v/>
      </c>
      <c r="V62" s="39" t="n">
        <v>10</v>
      </c>
      <c r="W62" s="40">
        <f>V62</f>
        <v/>
      </c>
      <c r="X62" s="41">
        <f>W62</f>
        <v/>
      </c>
      <c r="Y62" s="42">
        <f>IF(X62&gt;0,X62,IF(X64+X61=0,0,X59))</f>
        <v/>
      </c>
      <c r="Z62" s="39" t="n">
        <v>10</v>
      </c>
      <c r="AA62" s="40">
        <f>Z62</f>
        <v/>
      </c>
      <c r="AB62" s="41">
        <f>AA62</f>
        <v/>
      </c>
      <c r="AC62" s="42">
        <f>IF(AB62&gt;0,AB62,IF(AB64+AB61=0,0,AB59))</f>
        <v/>
      </c>
    </row>
    <row r="63" customFormat="1" s="39">
      <c r="A63" s="34">
        <f>'2_MechAdd_Script'!A63</f>
        <v/>
      </c>
      <c r="B63" t="inlineStr">
        <is>
          <t>RStump_Height</t>
        </is>
      </c>
      <c r="C63" s="36" t="n"/>
      <c r="D63" s="37" t="n"/>
      <c r="E63" s="38" t="n"/>
      <c r="F63" s="39" t="n">
        <v>0.4</v>
      </c>
      <c r="G63" s="40">
        <f>F63</f>
        <v/>
      </c>
      <c r="H63" s="41">
        <f>G63</f>
        <v/>
      </c>
      <c r="I63" s="42">
        <f>IF(H63&gt;0,H63,IF(H64+H61=0,0,H60))</f>
        <v/>
      </c>
      <c r="K63" s="40">
        <f>J63</f>
        <v/>
      </c>
      <c r="L63" s="41">
        <f>K63</f>
        <v/>
      </c>
      <c r="M63" s="42">
        <f>IF(L63&gt;0,L63,IF(L64+L61=0,0,L60))</f>
        <v/>
      </c>
      <c r="O63" s="40">
        <f>N63</f>
        <v/>
      </c>
      <c r="P63" s="41">
        <f>O63</f>
        <v/>
      </c>
      <c r="Q63" s="42">
        <f>IF(P63&gt;0,P63,IF(P64+P61=0,0,P60))</f>
        <v/>
      </c>
      <c r="R63" s="39" t="n">
        <v>2</v>
      </c>
      <c r="S63" s="40">
        <f>R63</f>
        <v/>
      </c>
      <c r="T63" s="41">
        <f>S63</f>
        <v/>
      </c>
      <c r="U63" s="42">
        <f>IF(T63&gt;0,T63,IF(T64+T61=0,0,T60))</f>
        <v/>
      </c>
      <c r="V63" s="39" t="n">
        <v>1</v>
      </c>
      <c r="W63" s="40">
        <f>V63</f>
        <v/>
      </c>
      <c r="X63" s="41">
        <f>W63</f>
        <v/>
      </c>
      <c r="Y63" s="42">
        <f>IF(X63&gt;0,X63,IF(X64+X61=0,0,X60))</f>
        <v/>
      </c>
      <c r="Z63" s="39" t="n">
        <v>1</v>
      </c>
      <c r="AA63" s="40">
        <f>Z63</f>
        <v/>
      </c>
      <c r="AB63" s="41">
        <f>AA63</f>
        <v/>
      </c>
      <c r="AC63" s="42">
        <f>IF(AB63&gt;0,AB63,IF(AB64+AB61=0,0,AB60))</f>
        <v/>
      </c>
    </row>
    <row r="64" customFormat="1" s="39">
      <c r="A64" s="34">
        <f>'2_MechAdd_Script'!A64</f>
        <v/>
      </c>
      <c r="B64" t="inlineStr">
        <is>
          <t>RStump_Density</t>
        </is>
      </c>
      <c r="C64" s="36" t="n"/>
      <c r="D64" s="37" t="n"/>
      <c r="E64" s="43" t="inlineStr">
        <is>
          <t>ADD Sound Density</t>
        </is>
      </c>
      <c r="F64" s="39" t="n">
        <v>115</v>
      </c>
      <c r="G64" s="40">
        <f>F64</f>
        <v/>
      </c>
      <c r="H64" s="41">
        <f>G64</f>
        <v/>
      </c>
      <c r="I64" s="42">
        <f>H64+H61</f>
        <v/>
      </c>
      <c r="K64" s="40">
        <f>J64</f>
        <v/>
      </c>
      <c r="L64" s="41">
        <f>K64</f>
        <v/>
      </c>
      <c r="M64" s="42">
        <f>L64+L61</f>
        <v/>
      </c>
      <c r="O64" s="40">
        <f>N64</f>
        <v/>
      </c>
      <c r="P64" s="41">
        <f>O64</f>
        <v/>
      </c>
      <c r="Q64" s="42">
        <f>P64+P61</f>
        <v/>
      </c>
      <c r="R64" s="39" t="n">
        <v>50</v>
      </c>
      <c r="S64" s="40">
        <f>R64</f>
        <v/>
      </c>
      <c r="T64" s="41">
        <f>S64</f>
        <v/>
      </c>
      <c r="U64" s="42">
        <f>T64+T61</f>
        <v/>
      </c>
      <c r="V64" s="39" t="n">
        <v>5</v>
      </c>
      <c r="W64" s="40">
        <f>V64</f>
        <v/>
      </c>
      <c r="X64" s="41">
        <f>W64</f>
        <v/>
      </c>
      <c r="Y64" s="42">
        <f>X64+X61</f>
        <v/>
      </c>
      <c r="Z64" s="39" t="n">
        <v>3</v>
      </c>
      <c r="AA64" s="40">
        <f>Z64</f>
        <v/>
      </c>
      <c r="AB64" s="41">
        <f>AA64</f>
        <v/>
      </c>
      <c r="AC64" s="42">
        <f>AB64+AB61</f>
        <v/>
      </c>
    </row>
    <row r="65" customFormat="1" s="39">
      <c r="A65" s="34">
        <f>'2_MechAdd_Script'!A65</f>
        <v/>
      </c>
      <c r="B65" t="inlineStr">
        <is>
          <t>LStump_Diameter</t>
        </is>
      </c>
      <c r="C65" s="4" t="n"/>
      <c r="D65" s="5" t="n"/>
      <c r="E65" s="32" t="n"/>
      <c r="G65" s="12">
        <f>F65</f>
        <v/>
      </c>
      <c r="H65" s="15">
        <f>G65</f>
        <v/>
      </c>
      <c r="I65" s="16" t="n">
        <v>0</v>
      </c>
      <c r="K65" s="12">
        <f>J65</f>
        <v/>
      </c>
      <c r="L65" s="15">
        <f>K65</f>
        <v/>
      </c>
      <c r="M65" s="16" t="n">
        <v>0</v>
      </c>
      <c r="O65" s="12">
        <f>N65</f>
        <v/>
      </c>
      <c r="P65" s="15">
        <f>O65</f>
        <v/>
      </c>
      <c r="Q65" s="16" t="n">
        <v>0</v>
      </c>
      <c r="S65" s="12">
        <f>R65</f>
        <v/>
      </c>
      <c r="T65" s="15">
        <f>S65</f>
        <v/>
      </c>
      <c r="U65" s="16" t="n">
        <v>0</v>
      </c>
      <c r="W65" s="12">
        <f>V65</f>
        <v/>
      </c>
      <c r="X65" s="15">
        <f>W65</f>
        <v/>
      </c>
      <c r="Y65" s="16" t="n">
        <v>0</v>
      </c>
      <c r="AA65" s="12">
        <f>Z65</f>
        <v/>
      </c>
      <c r="AB65" s="15">
        <f>AA65</f>
        <v/>
      </c>
      <c r="AC65" s="16" t="n">
        <v>0</v>
      </c>
    </row>
    <row r="66" customFormat="1" s="39">
      <c r="A66" s="34">
        <f>'2_MechAdd_Script'!A66</f>
        <v/>
      </c>
      <c r="B66" t="inlineStr">
        <is>
          <t>LStump_Height</t>
        </is>
      </c>
      <c r="C66" s="4" t="n"/>
      <c r="D66" s="5" t="n"/>
      <c r="E66" s="32"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39">
      <c r="A67" s="34">
        <f>'2_MechAdd_Script'!A67</f>
        <v/>
      </c>
      <c r="B67" t="inlineStr">
        <is>
          <t>LStump_Density</t>
        </is>
      </c>
      <c r="C67" s="4" t="n"/>
      <c r="D67" s="5" t="n"/>
      <c r="E67" s="32"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39">
      <c r="A68" s="34">
        <f>'2_MechAdd_Script'!A68</f>
        <v/>
      </c>
      <c r="B68" t="inlineStr">
        <is>
          <t>CleanPile_Load</t>
        </is>
      </c>
      <c r="C68" s="4" t="n"/>
      <c r="D68" s="5" t="n"/>
      <c r="E68" s="32" t="n"/>
      <c r="F68" s="39" t="n">
        <v>0.07811899999999999</v>
      </c>
      <c r="G68" s="12">
        <f>F68</f>
        <v/>
      </c>
      <c r="H68" s="15">
        <f>G68</f>
        <v/>
      </c>
      <c r="I68" s="16">
        <f>H68</f>
        <v/>
      </c>
      <c r="J68" s="39" t="n">
        <v>0</v>
      </c>
      <c r="K68" s="12">
        <f>J68</f>
        <v/>
      </c>
      <c r="L68" s="15">
        <f>K68</f>
        <v/>
      </c>
      <c r="M68" s="16">
        <f>L68</f>
        <v/>
      </c>
      <c r="N68" s="39" t="n">
        <v>0</v>
      </c>
      <c r="O68" s="12">
        <f>N68</f>
        <v/>
      </c>
      <c r="P68" s="15">
        <f>O68</f>
        <v/>
      </c>
      <c r="Q68" s="16">
        <f>P68</f>
        <v/>
      </c>
      <c r="R68" s="39" t="n">
        <v>0.08181099999999999</v>
      </c>
      <c r="S68" s="12">
        <f>R68</f>
        <v/>
      </c>
      <c r="T68" s="15">
        <f>S68</f>
        <v/>
      </c>
      <c r="U68" s="16">
        <f>T68</f>
        <v/>
      </c>
      <c r="V68" s="39" t="n">
        <v>0.135893</v>
      </c>
      <c r="W68" s="12">
        <f>V68</f>
        <v/>
      </c>
      <c r="X68" s="15">
        <f>W68</f>
        <v/>
      </c>
      <c r="Y68" s="16">
        <f>X68</f>
        <v/>
      </c>
      <c r="Z68" s="39" t="n">
        <v>0</v>
      </c>
      <c r="AA68" s="12">
        <f>Z68</f>
        <v/>
      </c>
      <c r="AB68" s="15">
        <f>AA68</f>
        <v/>
      </c>
      <c r="AC68" s="16">
        <f>AB68</f>
        <v/>
      </c>
    </row>
    <row r="69" ht="16.5" customFormat="1" customHeight="1" s="39">
      <c r="A69" s="34">
        <f>'2_MechAdd_Script'!A69</f>
        <v/>
      </c>
      <c r="B69" t="inlineStr">
        <is>
          <t>DirtyPile_Load</t>
        </is>
      </c>
      <c r="C69" s="4" t="n"/>
      <c r="D69" s="5" t="n"/>
      <c r="E69" s="32" t="n"/>
      <c r="F69" s="39" t="n">
        <v>0</v>
      </c>
      <c r="G69" s="12">
        <f>F69</f>
        <v/>
      </c>
      <c r="H69" s="15">
        <f>G69</f>
        <v/>
      </c>
      <c r="I69" s="16">
        <f>H69</f>
        <v/>
      </c>
      <c r="J69" s="39" t="n">
        <v>0</v>
      </c>
      <c r="K69" s="12">
        <f>J69</f>
        <v/>
      </c>
      <c r="L69" s="15">
        <f>K69</f>
        <v/>
      </c>
      <c r="M69" s="16">
        <f>L69</f>
        <v/>
      </c>
      <c r="N69" s="39" t="n">
        <v>0</v>
      </c>
      <c r="O69" s="12">
        <f>N69</f>
        <v/>
      </c>
      <c r="P69" s="15">
        <f>O69</f>
        <v/>
      </c>
      <c r="Q69" s="16">
        <f>P69</f>
        <v/>
      </c>
      <c r="R69" s="39" t="n">
        <v>0</v>
      </c>
      <c r="S69" s="12">
        <f>R69</f>
        <v/>
      </c>
      <c r="T69" s="15">
        <f>S69</f>
        <v/>
      </c>
      <c r="U69" s="16">
        <f>T69</f>
        <v/>
      </c>
      <c r="V69" s="39" t="n">
        <v>0</v>
      </c>
      <c r="W69" s="12">
        <f>V69</f>
        <v/>
      </c>
      <c r="X69" s="15">
        <f>W69</f>
        <v/>
      </c>
      <c r="Y69" s="16">
        <f>X69</f>
        <v/>
      </c>
      <c r="Z69" s="39" t="n">
        <v>0</v>
      </c>
      <c r="AA69" s="12">
        <f>Z69</f>
        <v/>
      </c>
      <c r="AB69" s="15">
        <f>AA69</f>
        <v/>
      </c>
      <c r="AC69" s="16">
        <f>AB69</f>
        <v/>
      </c>
    </row>
    <row r="70" customFormat="1" s="39">
      <c r="A70" s="34">
        <f>'2_MechAdd_Script'!A70</f>
        <v/>
      </c>
      <c r="B70" t="inlineStr">
        <is>
          <t>VDirtyPile_Load</t>
        </is>
      </c>
      <c r="C70" s="4" t="n"/>
      <c r="D70" s="5" t="n"/>
      <c r="E70" s="32" t="n"/>
      <c r="F70" s="39" t="n">
        <v>0</v>
      </c>
      <c r="G70" s="12">
        <f>F70</f>
        <v/>
      </c>
      <c r="H70" s="15">
        <f>G70</f>
        <v/>
      </c>
      <c r="I70" s="16">
        <f>H70</f>
        <v/>
      </c>
      <c r="J70" s="39" t="n">
        <v>0</v>
      </c>
      <c r="K70" s="12">
        <f>J70</f>
        <v/>
      </c>
      <c r="L70" s="15">
        <f>K70</f>
        <v/>
      </c>
      <c r="M70" s="16">
        <f>L70</f>
        <v/>
      </c>
      <c r="N70" s="39" t="n">
        <v>0</v>
      </c>
      <c r="O70" s="12">
        <f>N70</f>
        <v/>
      </c>
      <c r="P70" s="15">
        <f>O70</f>
        <v/>
      </c>
      <c r="Q70" s="16">
        <f>P70</f>
        <v/>
      </c>
      <c r="R70" s="39" t="n">
        <v>0</v>
      </c>
      <c r="S70" s="12">
        <f>R70</f>
        <v/>
      </c>
      <c r="T70" s="15">
        <f>S70</f>
        <v/>
      </c>
      <c r="U70" s="16">
        <f>T70</f>
        <v/>
      </c>
      <c r="V70" s="39" t="n">
        <v>0</v>
      </c>
      <c r="W70" s="12">
        <f>V70</f>
        <v/>
      </c>
      <c r="X70" s="15">
        <f>W70</f>
        <v/>
      </c>
      <c r="Y70" s="16">
        <f>X70</f>
        <v/>
      </c>
      <c r="Z70" s="39" t="n">
        <v>0</v>
      </c>
      <c r="AA70" s="12">
        <f>Z70</f>
        <v/>
      </c>
      <c r="AB70" s="15">
        <f>AA70</f>
        <v/>
      </c>
      <c r="AC70" s="16">
        <f>AB70</f>
        <v/>
      </c>
    </row>
    <row r="71" customFormat="1" s="39">
      <c r="A71" s="34">
        <f>'2_MechAdd_Script'!A71</f>
        <v/>
      </c>
      <c r="B71" t="inlineStr">
        <is>
          <t>BroadleafLitter_RelCover</t>
        </is>
      </c>
      <c r="C71" s="4" t="n"/>
      <c r="D71" s="5" t="n"/>
      <c r="E71" s="32" t="n"/>
      <c r="G71" s="12">
        <f>F71</f>
        <v/>
      </c>
      <c r="H71" s="15">
        <f>G71</f>
        <v/>
      </c>
      <c r="I71" s="16">
        <f>H71</f>
        <v/>
      </c>
      <c r="K71" s="12">
        <f>J71</f>
        <v/>
      </c>
      <c r="L71" s="15">
        <f>K71</f>
        <v/>
      </c>
      <c r="M71" s="16">
        <f>L71</f>
        <v/>
      </c>
      <c r="O71" s="12">
        <f>N71</f>
        <v/>
      </c>
      <c r="P71" s="15">
        <f>O71</f>
        <v/>
      </c>
      <c r="Q71" s="16">
        <f>P71</f>
        <v/>
      </c>
      <c r="S71" s="12">
        <f>R71</f>
        <v/>
      </c>
      <c r="T71" s="15">
        <f>S71</f>
        <v/>
      </c>
      <c r="U71" s="16">
        <f>T71</f>
        <v/>
      </c>
      <c r="V71" s="39" t="n">
        <v>90</v>
      </c>
      <c r="W71" s="12">
        <f>V71</f>
        <v/>
      </c>
      <c r="X71" s="15">
        <f>W71</f>
        <v/>
      </c>
      <c r="Y71" s="16">
        <f>X71</f>
        <v/>
      </c>
      <c r="AA71" s="12">
        <f>Z71</f>
        <v/>
      </c>
      <c r="AB71" s="15">
        <f>AA71</f>
        <v/>
      </c>
      <c r="AC71" s="16">
        <f>AB71</f>
        <v/>
      </c>
    </row>
    <row r="72" customFormat="1" s="39">
      <c r="A72" s="34">
        <f>'2_MechAdd_Script'!A72</f>
        <v/>
      </c>
      <c r="B72" t="inlineStr">
        <is>
          <t>EvergreenLitter_RelCover</t>
        </is>
      </c>
      <c r="C72" s="4" t="n"/>
      <c r="D72" s="5" t="n"/>
      <c r="E72" s="32" t="n"/>
      <c r="G72" s="12">
        <f>F72</f>
        <v/>
      </c>
      <c r="H72" s="15">
        <f>G72</f>
        <v/>
      </c>
      <c r="I72" s="16">
        <f>H72</f>
        <v/>
      </c>
      <c r="J72" s="39"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39">
      <c r="A73" s="34">
        <f>'2_MechAdd_Script'!A73</f>
        <v/>
      </c>
      <c r="B73" t="inlineStr">
        <is>
          <t>GrassLitter_RelCover</t>
        </is>
      </c>
      <c r="C73" s="4" t="n"/>
      <c r="D73" s="5" t="n"/>
      <c r="E73" s="32" t="n"/>
      <c r="G73" s="12">
        <f>F73</f>
        <v/>
      </c>
      <c r="H73" s="15">
        <f>G73</f>
        <v/>
      </c>
      <c r="I73" s="16">
        <f>H73</f>
        <v/>
      </c>
      <c r="K73" s="12">
        <f>J73</f>
        <v/>
      </c>
      <c r="L73" s="15">
        <f>K73</f>
        <v/>
      </c>
      <c r="M73" s="16">
        <f>L73</f>
        <v/>
      </c>
      <c r="N73" s="39"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39">
      <c r="A74" s="34">
        <f>'2_MechAdd_Script'!A74</f>
        <v/>
      </c>
      <c r="B74" t="inlineStr">
        <is>
          <t>LongNeedleLitter_RelCover</t>
        </is>
      </c>
      <c r="C74" s="4" t="n"/>
      <c r="D74" s="5" t="n"/>
      <c r="E74" s="32"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39" t="n">
        <v>10</v>
      </c>
      <c r="W74" s="12">
        <f>V74</f>
        <v/>
      </c>
      <c r="X74" s="15">
        <f>W74</f>
        <v/>
      </c>
      <c r="Y74" s="16">
        <f>X74</f>
        <v/>
      </c>
      <c r="Z74" s="39" t="n">
        <v>40</v>
      </c>
      <c r="AA74" s="12">
        <f>Z74</f>
        <v/>
      </c>
      <c r="AB74" s="15">
        <f>AA74</f>
        <v/>
      </c>
      <c r="AC74" s="16">
        <f>AB74</f>
        <v/>
      </c>
    </row>
    <row r="75" customFormat="1" s="39">
      <c r="A75" s="34">
        <f>'2_MechAdd_Script'!A75</f>
        <v/>
      </c>
      <c r="B75" t="inlineStr">
        <is>
          <t>OtherConiferLitter_RelCover</t>
        </is>
      </c>
      <c r="C75" s="4" t="n"/>
      <c r="D75" s="5" t="n"/>
      <c r="E75" s="32" t="n"/>
      <c r="F75" s="13" t="n">
        <v>50</v>
      </c>
      <c r="G75" s="12">
        <f>F75</f>
        <v/>
      </c>
      <c r="H75" s="15">
        <f>G75</f>
        <v/>
      </c>
      <c r="I75" s="16">
        <f>H75</f>
        <v/>
      </c>
      <c r="K75" s="12">
        <f>J75</f>
        <v/>
      </c>
      <c r="L75" s="15">
        <f>K75</f>
        <v/>
      </c>
      <c r="M75" s="16">
        <f>L75</f>
        <v/>
      </c>
      <c r="O75" s="12">
        <f>N75</f>
        <v/>
      </c>
      <c r="P75" s="15">
        <f>O75</f>
        <v/>
      </c>
      <c r="Q75" s="16">
        <f>P75</f>
        <v/>
      </c>
      <c r="R75" s="39" t="n">
        <v>100</v>
      </c>
      <c r="S75" s="12">
        <f>R75</f>
        <v/>
      </c>
      <c r="T75" s="15">
        <f>S75</f>
        <v/>
      </c>
      <c r="U75" s="16">
        <f>T75</f>
        <v/>
      </c>
      <c r="W75" s="12">
        <f>V75</f>
        <v/>
      </c>
      <c r="X75" s="15">
        <f>W75</f>
        <v/>
      </c>
      <c r="Y75" s="16">
        <f>X75</f>
        <v/>
      </c>
      <c r="AA75" s="12">
        <f>Z75</f>
        <v/>
      </c>
      <c r="AB75" s="15">
        <f>AA75</f>
        <v/>
      </c>
      <c r="AC75" s="16">
        <f>AB75</f>
        <v/>
      </c>
    </row>
    <row r="76" customFormat="1" s="39">
      <c r="A76" s="34">
        <f>'2_MechAdd_Script'!A76</f>
        <v/>
      </c>
      <c r="B76" t="inlineStr">
        <is>
          <t>PalmLitter_RelCover</t>
        </is>
      </c>
      <c r="C76" s="4" t="n"/>
      <c r="D76" s="5" t="n"/>
      <c r="E76" s="32"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39" t="n">
        <v>60</v>
      </c>
      <c r="AA76" s="12">
        <f>Z76</f>
        <v/>
      </c>
      <c r="AB76" s="15">
        <f>AA76</f>
        <v/>
      </c>
      <c r="AC76" s="16">
        <f>AB76</f>
        <v/>
      </c>
    </row>
    <row r="77" customFormat="1" s="39">
      <c r="A77" s="34">
        <f>'2_MechAdd_Script'!A77</f>
        <v/>
      </c>
      <c r="B77" t="inlineStr">
        <is>
          <t>ShortNeedleLitter_RelCover</t>
        </is>
      </c>
      <c r="C77" s="4" t="n"/>
      <c r="D77" s="5" t="n"/>
      <c r="E77" s="32"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39">
      <c r="A78" s="34">
        <f>'2_MechAdd_Script'!A78</f>
        <v/>
      </c>
      <c r="B78" t="inlineStr">
        <is>
          <t>Lichen_Depth</t>
        </is>
      </c>
      <c r="C78" s="4" t="n"/>
      <c r="D78" s="5" t="n"/>
      <c r="E78" s="32" t="n"/>
      <c r="G78" s="12">
        <f>F78</f>
        <v/>
      </c>
      <c r="H78" s="15">
        <f>G78</f>
        <v/>
      </c>
      <c r="I78" s="16">
        <f>H78</f>
        <v/>
      </c>
      <c r="K78" s="12">
        <f>J78</f>
        <v/>
      </c>
      <c r="L78" s="15">
        <f>K78</f>
        <v/>
      </c>
      <c r="M78" s="16">
        <f>L78</f>
        <v/>
      </c>
      <c r="O78" s="12">
        <f>N78</f>
        <v/>
      </c>
      <c r="P78" s="15">
        <f>O78</f>
        <v/>
      </c>
      <c r="Q78" s="16">
        <f>P78</f>
        <v/>
      </c>
      <c r="R78" s="39" t="n">
        <v>2</v>
      </c>
      <c r="S78" s="12">
        <f>R78</f>
        <v/>
      </c>
      <c r="T78" s="15">
        <f>S78</f>
        <v/>
      </c>
      <c r="U78" s="16">
        <f>T78</f>
        <v/>
      </c>
      <c r="W78" s="12">
        <f>V78</f>
        <v/>
      </c>
      <c r="X78" s="15">
        <f>W78</f>
        <v/>
      </c>
      <c r="Y78" s="16">
        <f>X78</f>
        <v/>
      </c>
      <c r="AA78" s="12">
        <f>Z78</f>
        <v/>
      </c>
      <c r="AB78" s="15">
        <f>AA78</f>
        <v/>
      </c>
      <c r="AC78" s="16">
        <f>AB78</f>
        <v/>
      </c>
    </row>
    <row r="79" customFormat="1" s="39">
      <c r="A79" s="34">
        <f>'2_MechAdd_Script'!A79</f>
        <v/>
      </c>
      <c r="B79" t="inlineStr">
        <is>
          <t>Lichen_Cover</t>
        </is>
      </c>
      <c r="C79" s="4" t="n"/>
      <c r="D79" s="5" t="n"/>
      <c r="E79" s="32" t="n"/>
      <c r="G79" s="12">
        <f>F79</f>
        <v/>
      </c>
      <c r="H79" s="15">
        <f>G79</f>
        <v/>
      </c>
      <c r="I79" s="16">
        <f>H79</f>
        <v/>
      </c>
      <c r="K79" s="12">
        <f>J79</f>
        <v/>
      </c>
      <c r="L79" s="15">
        <f>K79</f>
        <v/>
      </c>
      <c r="M79" s="16">
        <f>L79</f>
        <v/>
      </c>
      <c r="O79" s="12">
        <f>N79</f>
        <v/>
      </c>
      <c r="P79" s="15">
        <f>O79</f>
        <v/>
      </c>
      <c r="Q79" s="16">
        <f>P79</f>
        <v/>
      </c>
      <c r="R79" s="39" t="n">
        <v>5</v>
      </c>
      <c r="S79" s="12">
        <f>R79</f>
        <v/>
      </c>
      <c r="T79" s="15">
        <f>S79</f>
        <v/>
      </c>
      <c r="U79" s="16">
        <f>T79</f>
        <v/>
      </c>
      <c r="W79" s="12">
        <f>V79</f>
        <v/>
      </c>
      <c r="X79" s="15">
        <f>W79</f>
        <v/>
      </c>
      <c r="Y79" s="16">
        <f>X79</f>
        <v/>
      </c>
      <c r="AA79" s="12">
        <f>Z79</f>
        <v/>
      </c>
      <c r="AB79" s="15">
        <f>AA79</f>
        <v/>
      </c>
      <c r="AC79" s="16">
        <f>AB79</f>
        <v/>
      </c>
    </row>
    <row r="80" customFormat="1" s="39">
      <c r="A80" s="34">
        <f>'2_MechAdd_Script'!A80</f>
        <v/>
      </c>
      <c r="B80" t="inlineStr">
        <is>
          <t>Litter_Depth</t>
        </is>
      </c>
      <c r="C80" s="4" t="n">
        <v>1.25</v>
      </c>
      <c r="D80" s="5" t="n"/>
      <c r="E80" s="32" t="n"/>
      <c r="F80" s="39" t="n">
        <v>0.2</v>
      </c>
      <c r="G80" s="12">
        <f>$C80*F80</f>
        <v/>
      </c>
      <c r="H80" s="15">
        <f>G80</f>
        <v/>
      </c>
      <c r="I80" s="16">
        <f>H80</f>
        <v/>
      </c>
      <c r="J80" s="39" t="n">
        <v>1</v>
      </c>
      <c r="K80" s="12">
        <f>$C80*J80</f>
        <v/>
      </c>
      <c r="L80" s="15">
        <f>K80</f>
        <v/>
      </c>
      <c r="M80" s="16">
        <f>L80</f>
        <v/>
      </c>
      <c r="N80" s="39" t="n">
        <v>2.5</v>
      </c>
      <c r="O80" s="12">
        <f>$C80*N80</f>
        <v/>
      </c>
      <c r="P80" s="15">
        <f>O80</f>
        <v/>
      </c>
      <c r="Q80" s="16">
        <f>P80</f>
        <v/>
      </c>
      <c r="R80" s="39" t="n">
        <v>1</v>
      </c>
      <c r="S80" s="12">
        <f>$C80*R80</f>
        <v/>
      </c>
      <c r="T80" s="15">
        <f>S80</f>
        <v/>
      </c>
      <c r="U80" s="16">
        <f>T80</f>
        <v/>
      </c>
      <c r="V80" s="39" t="n">
        <v>1.5</v>
      </c>
      <c r="W80" s="12">
        <f>$C80*V80</f>
        <v/>
      </c>
      <c r="X80" s="15">
        <f>W80</f>
        <v/>
      </c>
      <c r="Y80" s="16">
        <f>X80</f>
        <v/>
      </c>
      <c r="Z80" s="39" t="n">
        <v>2</v>
      </c>
      <c r="AA80" s="12">
        <f>$C80*Z80</f>
        <v/>
      </c>
      <c r="AB80" s="15">
        <f>AA80</f>
        <v/>
      </c>
      <c r="AC80" s="16">
        <f>AB80</f>
        <v/>
      </c>
    </row>
    <row r="81" customFormat="1" s="39">
      <c r="A81" s="34">
        <f>'2_MechAdd_Script'!A81</f>
        <v/>
      </c>
      <c r="B81" t="inlineStr">
        <is>
          <t>Litter_Cover</t>
        </is>
      </c>
      <c r="C81" s="4" t="n">
        <v>1.25</v>
      </c>
      <c r="D81" s="5" t="n"/>
      <c r="E81" s="32" t="n"/>
      <c r="F81" s="39" t="n">
        <v>70</v>
      </c>
      <c r="G81" s="12">
        <f>MIN(100,$C81*F81)</f>
        <v/>
      </c>
      <c r="H81" s="15">
        <f>G81</f>
        <v/>
      </c>
      <c r="I81" s="16">
        <f>H81</f>
        <v/>
      </c>
      <c r="J81" s="39" t="n">
        <v>60</v>
      </c>
      <c r="K81" s="12">
        <f>MIN(100,$C81*J81)</f>
        <v/>
      </c>
      <c r="L81" s="15">
        <f>K81</f>
        <v/>
      </c>
      <c r="M81" s="16">
        <f>L81</f>
        <v/>
      </c>
      <c r="N81" s="39" t="n">
        <v>5</v>
      </c>
      <c r="O81" s="12">
        <f>MIN(100,$C81*N81)</f>
        <v/>
      </c>
      <c r="P81" s="15">
        <f>O81</f>
        <v/>
      </c>
      <c r="Q81" s="16">
        <f>P81</f>
        <v/>
      </c>
      <c r="R81" s="39" t="n">
        <v>15</v>
      </c>
      <c r="S81" s="12">
        <f>MIN(100,$C81*R81)</f>
        <v/>
      </c>
      <c r="T81" s="15">
        <f>S81</f>
        <v/>
      </c>
      <c r="U81" s="16">
        <f>T81</f>
        <v/>
      </c>
      <c r="V81" s="39" t="n">
        <v>90</v>
      </c>
      <c r="W81" s="12">
        <f>MIN(100,$C81*V81)</f>
        <v/>
      </c>
      <c r="X81" s="15">
        <f>W81</f>
        <v/>
      </c>
      <c r="Y81" s="16">
        <f>X81</f>
        <v/>
      </c>
      <c r="Z81" s="39" t="n">
        <v>70</v>
      </c>
      <c r="AA81" s="12">
        <f>MIN(100,$C81*Z81)</f>
        <v/>
      </c>
      <c r="AB81" s="15">
        <f>AA81</f>
        <v/>
      </c>
      <c r="AC81" s="16">
        <f>AB81</f>
        <v/>
      </c>
    </row>
    <row r="82" customFormat="1" s="39">
      <c r="A82" s="34">
        <f>'2_MechAdd_Script'!A82</f>
        <v/>
      </c>
      <c r="B82" t="inlineStr">
        <is>
          <t>Moss_Depth</t>
        </is>
      </c>
      <c r="C82" s="4" t="n"/>
      <c r="D82" s="5" t="n"/>
      <c r="E82" s="32" t="n"/>
      <c r="G82" s="12">
        <f>F82</f>
        <v/>
      </c>
      <c r="H82" s="15">
        <f>G82</f>
        <v/>
      </c>
      <c r="I82" s="16">
        <f>H82</f>
        <v/>
      </c>
      <c r="K82" s="12">
        <f>J82</f>
        <v/>
      </c>
      <c r="L82" s="15">
        <f>K82</f>
        <v/>
      </c>
      <c r="M82" s="16">
        <f>L82</f>
        <v/>
      </c>
      <c r="O82" s="12">
        <f>N82</f>
        <v/>
      </c>
      <c r="P82" s="15">
        <f>O82</f>
        <v/>
      </c>
      <c r="Q82" s="16">
        <f>P82</f>
        <v/>
      </c>
      <c r="R82" s="39" t="n">
        <v>2.5</v>
      </c>
      <c r="S82" s="12">
        <f>R82</f>
        <v/>
      </c>
      <c r="T82" s="15">
        <f>S82</f>
        <v/>
      </c>
      <c r="U82" s="16">
        <f>T82</f>
        <v/>
      </c>
      <c r="V82" s="39" t="n">
        <v>1</v>
      </c>
      <c r="W82" s="12">
        <f>V82</f>
        <v/>
      </c>
      <c r="X82" s="15">
        <f>W82</f>
        <v/>
      </c>
      <c r="Y82" s="16">
        <f>X82</f>
        <v/>
      </c>
      <c r="AA82" s="12">
        <f>Z82</f>
        <v/>
      </c>
      <c r="AB82" s="15">
        <f>AA82</f>
        <v/>
      </c>
      <c r="AC82" s="16">
        <f>AB82</f>
        <v/>
      </c>
    </row>
    <row r="83" customFormat="1" s="39">
      <c r="A83" s="34">
        <f>'2_MechAdd_Script'!A83</f>
        <v/>
      </c>
      <c r="B83" t="inlineStr">
        <is>
          <t>Moss_Cover</t>
        </is>
      </c>
      <c r="C83" s="4" t="n"/>
      <c r="D83" s="5" t="n"/>
      <c r="E83" s="32" t="n"/>
      <c r="G83" s="12">
        <f>F83</f>
        <v/>
      </c>
      <c r="H83" s="15">
        <f>G83</f>
        <v/>
      </c>
      <c r="I83" s="16">
        <f>H83</f>
        <v/>
      </c>
      <c r="K83" s="12">
        <f>J83</f>
        <v/>
      </c>
      <c r="L83" s="15">
        <f>K83</f>
        <v/>
      </c>
      <c r="M83" s="16">
        <f>L83</f>
        <v/>
      </c>
      <c r="O83" s="12">
        <f>N83</f>
        <v/>
      </c>
      <c r="P83" s="15">
        <f>O83</f>
        <v/>
      </c>
      <c r="Q83" s="16">
        <f>P83</f>
        <v/>
      </c>
      <c r="R83" s="39" t="n">
        <v>80</v>
      </c>
      <c r="S83" s="12">
        <f>R83</f>
        <v/>
      </c>
      <c r="T83" s="15">
        <f>S83</f>
        <v/>
      </c>
      <c r="U83" s="16">
        <f>T83</f>
        <v/>
      </c>
      <c r="V83" s="39" t="n">
        <v>5</v>
      </c>
      <c r="W83" s="12">
        <f>V83</f>
        <v/>
      </c>
      <c r="X83" s="15">
        <f>W83</f>
        <v/>
      </c>
      <c r="Y83" s="16">
        <f>X83</f>
        <v/>
      </c>
      <c r="AA83" s="12">
        <f>Z83</f>
        <v/>
      </c>
      <c r="AB83" s="15">
        <f>AA83</f>
        <v/>
      </c>
      <c r="AC83" s="16">
        <f>AB83</f>
        <v/>
      </c>
    </row>
    <row r="84" customFormat="1" s="39">
      <c r="A84" s="34">
        <f>'2_MechAdd_Script'!A84</f>
        <v/>
      </c>
      <c r="B84" t="inlineStr">
        <is>
          <t>LowerDuff_Depth</t>
        </is>
      </c>
      <c r="C84" s="4" t="n"/>
      <c r="D84" s="5" t="n"/>
      <c r="E84" s="32" t="n"/>
      <c r="G84" s="12">
        <f>F84</f>
        <v/>
      </c>
      <c r="H84" s="15">
        <f>G84</f>
        <v/>
      </c>
      <c r="I84" s="16">
        <f>H84</f>
        <v/>
      </c>
      <c r="J84" s="39" t="n">
        <v>0.2</v>
      </c>
      <c r="K84" s="12">
        <f>J84</f>
        <v/>
      </c>
      <c r="L84" s="15">
        <f>K84</f>
        <v/>
      </c>
      <c r="M84" s="16">
        <f>L84</f>
        <v/>
      </c>
      <c r="O84" s="12">
        <f>N84</f>
        <v/>
      </c>
      <c r="P84" s="15">
        <f>O84</f>
        <v/>
      </c>
      <c r="Q84" s="16">
        <f>P84</f>
        <v/>
      </c>
      <c r="R84" s="39" t="n">
        <v>2</v>
      </c>
      <c r="S84" s="12">
        <f>R84</f>
        <v/>
      </c>
      <c r="T84" s="15">
        <f>S84</f>
        <v/>
      </c>
      <c r="U84" s="16">
        <f>T84</f>
        <v/>
      </c>
      <c r="W84" s="12">
        <f>V84</f>
        <v/>
      </c>
      <c r="X84" s="15">
        <f>W84</f>
        <v/>
      </c>
      <c r="Y84" s="16">
        <f>X84</f>
        <v/>
      </c>
      <c r="AA84" s="12">
        <f>Z84</f>
        <v/>
      </c>
      <c r="AB84" s="15">
        <f>AA84</f>
        <v/>
      </c>
      <c r="AC84" s="16">
        <f>AB84</f>
        <v/>
      </c>
    </row>
    <row r="85" customFormat="1" s="39">
      <c r="A85" s="34">
        <f>'2_MechAdd_Script'!A85</f>
        <v/>
      </c>
      <c r="B85" t="inlineStr">
        <is>
          <t>LowerDuff_Cover</t>
        </is>
      </c>
      <c r="C85" s="4" t="n"/>
      <c r="D85" s="5" t="n"/>
      <c r="E85" s="32" t="n"/>
      <c r="G85" s="12">
        <f>F85</f>
        <v/>
      </c>
      <c r="H85" s="15">
        <f>G85</f>
        <v/>
      </c>
      <c r="I85" s="16">
        <f>H85</f>
        <v/>
      </c>
      <c r="J85" s="39" t="n">
        <v>60</v>
      </c>
      <c r="K85" s="12">
        <f>J85</f>
        <v/>
      </c>
      <c r="L85" s="15">
        <f>K85</f>
        <v/>
      </c>
      <c r="M85" s="16">
        <f>L85</f>
        <v/>
      </c>
      <c r="O85" s="12">
        <f>N85</f>
        <v/>
      </c>
      <c r="P85" s="15">
        <f>O85</f>
        <v/>
      </c>
      <c r="Q85" s="16">
        <f>P85</f>
        <v/>
      </c>
      <c r="R85" s="39" t="n">
        <v>90</v>
      </c>
      <c r="S85" s="12">
        <f>R85</f>
        <v/>
      </c>
      <c r="T85" s="15">
        <f>S85</f>
        <v/>
      </c>
      <c r="U85" s="16">
        <f>T85</f>
        <v/>
      </c>
      <c r="W85" s="12">
        <f>V85</f>
        <v/>
      </c>
      <c r="X85" s="15">
        <f>W85</f>
        <v/>
      </c>
      <c r="Y85" s="16">
        <f>X85</f>
        <v/>
      </c>
      <c r="AA85" s="12">
        <f>Z85</f>
        <v/>
      </c>
      <c r="AB85" s="15">
        <f>AA85</f>
        <v/>
      </c>
      <c r="AC85" s="16">
        <f>AB85</f>
        <v/>
      </c>
    </row>
    <row r="86" customFormat="1" s="39">
      <c r="A86" s="34">
        <f>'2_MechAdd_Script'!A86</f>
        <v/>
      </c>
      <c r="B86" t="inlineStr">
        <is>
          <t>UpperDuff_Depth</t>
        </is>
      </c>
      <c r="C86" s="4" t="n"/>
      <c r="D86" s="5" t="n"/>
      <c r="E86" s="32" t="n"/>
      <c r="F86" s="39" t="n">
        <v>0.5</v>
      </c>
      <c r="G86" s="12">
        <f>F86</f>
        <v/>
      </c>
      <c r="H86" s="15">
        <f>G86</f>
        <v/>
      </c>
      <c r="I86" s="16">
        <f>H86</f>
        <v/>
      </c>
      <c r="J86" s="39" t="n">
        <v>0.4</v>
      </c>
      <c r="K86" s="12">
        <f>J86</f>
        <v/>
      </c>
      <c r="L86" s="15">
        <f>K86</f>
        <v/>
      </c>
      <c r="M86" s="16">
        <f>L86</f>
        <v/>
      </c>
      <c r="N86" s="39" t="n">
        <v>0.2</v>
      </c>
      <c r="O86" s="12">
        <f>N86</f>
        <v/>
      </c>
      <c r="P86" s="15">
        <f>O86</f>
        <v/>
      </c>
      <c r="Q86" s="16">
        <f>P86</f>
        <v/>
      </c>
      <c r="R86" s="39" t="n">
        <v>4</v>
      </c>
      <c r="S86" s="12">
        <f>R86</f>
        <v/>
      </c>
      <c r="T86" s="15">
        <f>S86</f>
        <v/>
      </c>
      <c r="U86" s="16">
        <f>T86</f>
        <v/>
      </c>
      <c r="V86" s="39" t="n">
        <v>1</v>
      </c>
      <c r="W86" s="12">
        <f>V86</f>
        <v/>
      </c>
      <c r="X86" s="15">
        <f>W86</f>
        <v/>
      </c>
      <c r="Y86" s="16">
        <f>X86</f>
        <v/>
      </c>
      <c r="Z86" s="39" t="n">
        <v>1.5</v>
      </c>
      <c r="AA86" s="12">
        <f>Z86</f>
        <v/>
      </c>
      <c r="AB86" s="15">
        <f>AA86</f>
        <v/>
      </c>
      <c r="AC86" s="16">
        <f>AB86</f>
        <v/>
      </c>
    </row>
    <row r="87" customFormat="1" s="39">
      <c r="A87" s="34">
        <f>'2_MechAdd_Script'!A87</f>
        <v/>
      </c>
      <c r="B87" t="inlineStr">
        <is>
          <t>UpperDuff_Cover</t>
        </is>
      </c>
      <c r="C87" s="4" t="n"/>
      <c r="D87" s="5" t="n"/>
      <c r="E87" s="32" t="n"/>
      <c r="F87" s="39" t="n">
        <v>70</v>
      </c>
      <c r="G87" s="12">
        <f>F87</f>
        <v/>
      </c>
      <c r="H87" s="15">
        <f>G87</f>
        <v/>
      </c>
      <c r="I87" s="16">
        <f>H87</f>
        <v/>
      </c>
      <c r="J87" s="39" t="n">
        <v>60</v>
      </c>
      <c r="K87" s="12">
        <f>J87</f>
        <v/>
      </c>
      <c r="L87" s="15">
        <f>K87</f>
        <v/>
      </c>
      <c r="M87" s="16">
        <f>L87</f>
        <v/>
      </c>
      <c r="N87" s="39" t="n">
        <v>70</v>
      </c>
      <c r="O87" s="12">
        <f>N87</f>
        <v/>
      </c>
      <c r="P87" s="15">
        <f>O87</f>
        <v/>
      </c>
      <c r="Q87" s="16">
        <f>P87</f>
        <v/>
      </c>
      <c r="R87" s="39" t="n">
        <v>100</v>
      </c>
      <c r="S87" s="12">
        <f>R87</f>
        <v/>
      </c>
      <c r="T87" s="15">
        <f>S87</f>
        <v/>
      </c>
      <c r="U87" s="16">
        <f>T87</f>
        <v/>
      </c>
      <c r="V87" s="39" t="n">
        <v>90</v>
      </c>
      <c r="W87" s="12">
        <f>V87</f>
        <v/>
      </c>
      <c r="X87" s="15">
        <f>W87</f>
        <v/>
      </c>
      <c r="Y87" s="16">
        <f>X87</f>
        <v/>
      </c>
      <c r="Z87" s="39" t="n">
        <v>70</v>
      </c>
      <c r="AA87" s="12">
        <f>Z87</f>
        <v/>
      </c>
      <c r="AB87" s="15">
        <f>AA87</f>
        <v/>
      </c>
      <c r="AC87" s="16">
        <f>AB87</f>
        <v/>
      </c>
    </row>
    <row r="88" customFormat="1" s="39">
      <c r="A88" s="34">
        <f>'2_MechAdd_Script'!A88</f>
        <v/>
      </c>
      <c r="B88" t="inlineStr">
        <is>
          <t>BasalAccum_Depth</t>
        </is>
      </c>
      <c r="C88" s="4" t="n"/>
      <c r="D88" s="5" t="n"/>
      <c r="E88" s="32" t="n"/>
      <c r="G88" s="12">
        <f>F88</f>
        <v/>
      </c>
      <c r="H88" s="15">
        <f>G88</f>
        <v/>
      </c>
      <c r="I88" s="16">
        <f>H88</f>
        <v/>
      </c>
      <c r="K88" s="12">
        <f>J88</f>
        <v/>
      </c>
      <c r="L88" s="15">
        <f>K88</f>
        <v/>
      </c>
      <c r="M88" s="16">
        <f>L88</f>
        <v/>
      </c>
      <c r="O88" s="12">
        <f>N88</f>
        <v/>
      </c>
      <c r="P88" s="15">
        <f>O88</f>
        <v/>
      </c>
      <c r="Q88" s="16">
        <f>P88</f>
        <v/>
      </c>
      <c r="S88" s="12">
        <f>R88</f>
        <v/>
      </c>
      <c r="T88" s="15">
        <f>S88</f>
        <v/>
      </c>
      <c r="U88" s="16">
        <f>T88</f>
        <v/>
      </c>
      <c r="W88" s="12">
        <f>V88</f>
        <v/>
      </c>
      <c r="X88" s="15">
        <f>W88</f>
        <v/>
      </c>
      <c r="Y88" s="16">
        <f>X88</f>
        <v/>
      </c>
      <c r="AA88" s="12">
        <f>Z88</f>
        <v/>
      </c>
      <c r="AB88" s="15">
        <f>AA88</f>
        <v/>
      </c>
      <c r="AC88" s="16">
        <f>AB88</f>
        <v/>
      </c>
    </row>
    <row r="89" customFormat="1" s="39">
      <c r="A89" s="34">
        <f>'2_MechAdd_Script'!A89</f>
        <v/>
      </c>
      <c r="B89" t="inlineStr">
        <is>
          <t>BasalAccum_Density</t>
        </is>
      </c>
      <c r="C89" s="4" t="n"/>
      <c r="D89" s="5" t="n"/>
      <c r="E89" s="32" t="n"/>
      <c r="G89" s="12">
        <f>F89</f>
        <v/>
      </c>
      <c r="H89" s="15">
        <f>G89</f>
        <v/>
      </c>
      <c r="I89" s="16">
        <f>H89</f>
        <v/>
      </c>
      <c r="K89" s="12">
        <f>J89</f>
        <v/>
      </c>
      <c r="L89" s="15">
        <f>K89</f>
        <v/>
      </c>
      <c r="M89" s="16">
        <f>L89</f>
        <v/>
      </c>
      <c r="O89" s="12">
        <f>N89</f>
        <v/>
      </c>
      <c r="P89" s="15">
        <f>O89</f>
        <v/>
      </c>
      <c r="Q89" s="16">
        <f>P89</f>
        <v/>
      </c>
      <c r="S89" s="12">
        <f>R89</f>
        <v/>
      </c>
      <c r="T89" s="15">
        <f>S89</f>
        <v/>
      </c>
      <c r="U89" s="16">
        <f>T89</f>
        <v/>
      </c>
      <c r="W89" s="12">
        <f>V89</f>
        <v/>
      </c>
      <c r="X89" s="15">
        <f>W89</f>
        <v/>
      </c>
      <c r="Y89" s="16">
        <f>X89</f>
        <v/>
      </c>
      <c r="AA89" s="12">
        <f>Z89</f>
        <v/>
      </c>
      <c r="AB89" s="15">
        <f>AA89</f>
        <v/>
      </c>
      <c r="AC89" s="16">
        <f>AB89</f>
        <v/>
      </c>
    </row>
    <row r="90" customFormat="1" s="39">
      <c r="A90" s="34">
        <f>'2_MechAdd_Script'!A90</f>
        <v/>
      </c>
      <c r="B90" t="inlineStr">
        <is>
          <t>BasalAccum_Radius</t>
        </is>
      </c>
      <c r="C90" s="4" t="n"/>
      <c r="D90" s="5" t="n"/>
      <c r="E90" s="32"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39">
      <c r="A91" s="34">
        <f>'2_MechAdd_Script'!A91</f>
        <v/>
      </c>
      <c r="B91" t="inlineStr">
        <is>
          <t>SquirrelMid_Depth</t>
        </is>
      </c>
      <c r="C91" s="4" t="n"/>
      <c r="D91" s="5" t="n"/>
      <c r="E91" s="32" t="n"/>
      <c r="G91" s="12">
        <f>F91</f>
        <v/>
      </c>
      <c r="H91" s="15">
        <f>G91</f>
        <v/>
      </c>
      <c r="I91" s="16">
        <f>H91</f>
        <v/>
      </c>
      <c r="K91" s="12">
        <f>J91</f>
        <v/>
      </c>
      <c r="L91" s="15">
        <f>K91</f>
        <v/>
      </c>
      <c r="M91" s="16">
        <f>L91</f>
        <v/>
      </c>
      <c r="O91" s="12">
        <f>N91</f>
        <v/>
      </c>
      <c r="P91" s="15">
        <f>O91</f>
        <v/>
      </c>
      <c r="Q91" s="16">
        <f>P91</f>
        <v/>
      </c>
      <c r="R91" s="39" t="n">
        <v>18</v>
      </c>
      <c r="S91" s="12">
        <f>R91</f>
        <v/>
      </c>
      <c r="T91" s="15">
        <f>S91</f>
        <v/>
      </c>
      <c r="U91" s="16">
        <f>T91</f>
        <v/>
      </c>
      <c r="W91" s="12">
        <f>V91</f>
        <v/>
      </c>
      <c r="X91" s="15">
        <f>W91</f>
        <v/>
      </c>
      <c r="Y91" s="16">
        <f>X91</f>
        <v/>
      </c>
      <c r="AA91" s="12">
        <f>Z91</f>
        <v/>
      </c>
      <c r="AB91" s="15">
        <f>AA91</f>
        <v/>
      </c>
      <c r="AC91" s="16">
        <f>AB91</f>
        <v/>
      </c>
    </row>
    <row r="92" customFormat="1" s="39">
      <c r="A92" s="34">
        <f>'2_MechAdd_Script'!A92</f>
        <v/>
      </c>
      <c r="B92" t="inlineStr">
        <is>
          <t>SquirrelMid_Density</t>
        </is>
      </c>
      <c r="C92" s="4" t="n"/>
      <c r="D92" s="5" t="n"/>
      <c r="E92" s="32" t="n"/>
      <c r="G92" s="12">
        <f>F92</f>
        <v/>
      </c>
      <c r="H92" s="15">
        <f>G92</f>
        <v/>
      </c>
      <c r="I92" s="16">
        <f>H92</f>
        <v/>
      </c>
      <c r="K92" s="12">
        <f>J92</f>
        <v/>
      </c>
      <c r="L92" s="15">
        <f>K92</f>
        <v/>
      </c>
      <c r="M92" s="16">
        <f>L92</f>
        <v/>
      </c>
      <c r="O92" s="12">
        <f>N92</f>
        <v/>
      </c>
      <c r="P92" s="15">
        <f>O92</f>
        <v/>
      </c>
      <c r="Q92" s="16">
        <f>P92</f>
        <v/>
      </c>
      <c r="R92" s="39" t="n">
        <v>1</v>
      </c>
      <c r="S92" s="12">
        <f>R92</f>
        <v/>
      </c>
      <c r="T92" s="15">
        <f>S92</f>
        <v/>
      </c>
      <c r="U92" s="16">
        <f>T92</f>
        <v/>
      </c>
      <c r="W92" s="12">
        <f>V92</f>
        <v/>
      </c>
      <c r="X92" s="15">
        <f>W92</f>
        <v/>
      </c>
      <c r="Y92" s="16">
        <f>X92</f>
        <v/>
      </c>
      <c r="AA92" s="12">
        <f>Z92</f>
        <v/>
      </c>
      <c r="AB92" s="15">
        <f>AA92</f>
        <v/>
      </c>
      <c r="AC92" s="16">
        <f>AB92</f>
        <v/>
      </c>
    </row>
    <row r="93" customFormat="1" s="39">
      <c r="A93" s="34">
        <f>'2_MechAdd_Script'!A93</f>
        <v/>
      </c>
      <c r="B93" t="inlineStr">
        <is>
          <t>SquirrelMid_Radius</t>
        </is>
      </c>
      <c r="C93" s="4" t="n"/>
      <c r="D93" s="5" t="n"/>
      <c r="E93" s="32" t="n"/>
      <c r="G93" s="12">
        <f>F93</f>
        <v/>
      </c>
      <c r="H93" s="15">
        <f>G93</f>
        <v/>
      </c>
      <c r="I93" s="16">
        <f>H93</f>
        <v/>
      </c>
      <c r="K93" s="12">
        <f>J93</f>
        <v/>
      </c>
      <c r="L93" s="15">
        <f>K93</f>
        <v/>
      </c>
      <c r="M93" s="16">
        <f>L93</f>
        <v/>
      </c>
      <c r="O93" s="12">
        <f>N93</f>
        <v/>
      </c>
      <c r="P93" s="15">
        <f>O93</f>
        <v/>
      </c>
      <c r="Q93" s="16">
        <f>P93</f>
        <v/>
      </c>
      <c r="R93" s="39"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AC93"/>
  <sheetViews>
    <sheetView topLeftCell="A38" zoomScale="75" zoomScaleNormal="75" workbookViewId="0">
      <selection activeCell="C38" sqref="C1:E1048576"/>
    </sheetView>
  </sheetViews>
  <sheetFormatPr baseColWidth="8" defaultRowHeight="15"/>
  <cols>
    <col width="101.85546875" bestFit="1" customWidth="1" style="35" min="1" max="1"/>
    <col width="27.42578125" bestFit="1" customWidth="1" style="35" min="2" max="2"/>
    <col width="26.85546875" bestFit="1" customWidth="1" style="35" min="3" max="3"/>
    <col width="22" bestFit="1" customWidth="1" style="35" min="4" max="5"/>
    <col width="14" bestFit="1" customWidth="1" style="35" min="6" max="6"/>
    <col width="18.5703125" bestFit="1" customWidth="1" style="35" min="7" max="9"/>
    <col width="14" bestFit="1" customWidth="1" style="35" min="10" max="10"/>
    <col width="18.5703125" bestFit="1" customWidth="1" style="35" min="11" max="13"/>
    <col width="14" bestFit="1" customWidth="1" style="35" min="14" max="14"/>
    <col width="18.5703125" bestFit="1" customWidth="1" style="35" min="15" max="17"/>
    <col width="14" bestFit="1" customWidth="1" style="35" min="18" max="18"/>
    <col width="18.5703125" bestFit="1" customWidth="1" style="35" min="19" max="21"/>
    <col width="14" bestFit="1" customWidth="1" style="35" min="22" max="22"/>
    <col width="18.5703125" bestFit="1" customWidth="1" style="35" min="23" max="25"/>
    <col width="14" bestFit="1" customWidth="1" style="35" min="26" max="26"/>
    <col width="18.5703125" bestFit="1" customWidth="1" style="35" min="27" max="29"/>
    <col width="9.140625" customWidth="1" style="35" min="30" max="16384"/>
  </cols>
  <sheetData>
    <row r="1" customFormat="1" s="13">
      <c r="A1" s="14" t="inlineStr">
        <is>
          <t>Variable</t>
        </is>
      </c>
      <c r="B1" s="1" t="inlineStr">
        <is>
          <t>Suggested Short Name</t>
        </is>
      </c>
      <c r="C1" s="14" t="inlineStr">
        <is>
          <t>Mod Time Step 1 (221) Rules</t>
        </is>
      </c>
      <c r="D1" s="2" t="inlineStr">
        <is>
          <t>Time Step 2 (222) Rules</t>
        </is>
      </c>
      <c r="E1" s="3" t="inlineStr">
        <is>
          <t>Time Step 3 (223) Rules</t>
        </is>
      </c>
      <c r="F1" s="13" t="inlineStr">
        <is>
          <t>FB_0029_FCCS</t>
        </is>
      </c>
      <c r="G1" t="inlineStr">
        <is>
          <t>FB_0029_FCCS_221</t>
        </is>
      </c>
      <c r="H1" t="inlineStr">
        <is>
          <t>FB_0029_FCCS_222</t>
        </is>
      </c>
      <c r="I1" t="inlineStr">
        <is>
          <t>FB_0029_FCCS_223</t>
        </is>
      </c>
      <c r="J1" t="inlineStr">
        <is>
          <t>FB_0046_FCCS</t>
        </is>
      </c>
      <c r="K1" t="inlineStr">
        <is>
          <t>FB_0046_FCCS_221</t>
        </is>
      </c>
      <c r="L1" t="inlineStr">
        <is>
          <t>FB_0046_FCCS_222</t>
        </is>
      </c>
      <c r="M1" t="inlineStr">
        <is>
          <t>FB_0046_FCCS_223</t>
        </is>
      </c>
      <c r="N1" t="inlineStr">
        <is>
          <t>FB_0066_FCCS</t>
        </is>
      </c>
      <c r="O1" t="inlineStr">
        <is>
          <t>FB_0066_FCCS_221</t>
        </is>
      </c>
      <c r="P1" t="inlineStr">
        <is>
          <t>FB_0066_FCCS_222</t>
        </is>
      </c>
      <c r="Q1" t="inlineStr">
        <is>
          <t>FB_0066_FCCS_223</t>
        </is>
      </c>
      <c r="R1" t="inlineStr">
        <is>
          <t>FB_0087_FCCS</t>
        </is>
      </c>
      <c r="S1" t="inlineStr">
        <is>
          <t>FB_0087_FCCS_221</t>
        </is>
      </c>
      <c r="T1" t="inlineStr">
        <is>
          <t>FB_0087_FCCS_222</t>
        </is>
      </c>
      <c r="U1" t="inlineStr">
        <is>
          <t>FB_0087_FCCS_223</t>
        </is>
      </c>
      <c r="V1" t="inlineStr">
        <is>
          <t>FB_0109_FCCS</t>
        </is>
      </c>
      <c r="W1" t="inlineStr">
        <is>
          <t>FB_0109_FCCS_221</t>
        </is>
      </c>
      <c r="X1" t="inlineStr">
        <is>
          <t>FB_0109_FCCS_222</t>
        </is>
      </c>
      <c r="Y1" t="inlineStr">
        <is>
          <t>FB_0109_FCCS_223</t>
        </is>
      </c>
      <c r="Z1" t="inlineStr">
        <is>
          <t>FB_0291_FCCS</t>
        </is>
      </c>
      <c r="AA1" t="inlineStr">
        <is>
          <t>FB_0291_FCCS_221</t>
        </is>
      </c>
      <c r="AB1" t="inlineStr">
        <is>
          <t>FB_0291_FCCS_222</t>
        </is>
      </c>
      <c r="AC1" t="inlineStr">
        <is>
          <t>FB_0291_FCCS_223</t>
        </is>
      </c>
    </row>
    <row r="2" customFormat="1" s="39">
      <c r="A2" s="30">
        <f>'2_MechAdd_Script'!A2</f>
        <v/>
      </c>
      <c r="B2" t="inlineStr">
        <is>
          <t>Canopy_TotalCover</t>
        </is>
      </c>
      <c r="C2" s="4" t="n">
        <v>0.67</v>
      </c>
      <c r="D2" s="8" t="n"/>
      <c r="E2" s="31" t="n"/>
      <c r="F2" s="39" t="n">
        <v>40</v>
      </c>
      <c r="G2" s="12">
        <f>$C2*F2</f>
        <v/>
      </c>
      <c r="H2" s="15">
        <f>G2</f>
        <v/>
      </c>
      <c r="I2" s="16">
        <f>H2</f>
        <v/>
      </c>
      <c r="K2" s="12">
        <f>$C2*J2</f>
        <v/>
      </c>
      <c r="L2" s="15">
        <f>K2</f>
        <v/>
      </c>
      <c r="M2" s="16">
        <f>L2</f>
        <v/>
      </c>
      <c r="O2" s="12">
        <f>$C2*N2</f>
        <v/>
      </c>
      <c r="P2" s="15">
        <f>O2</f>
        <v/>
      </c>
      <c r="Q2" s="16">
        <f>P2</f>
        <v/>
      </c>
      <c r="R2" s="39" t="n">
        <v>80</v>
      </c>
      <c r="S2" s="12">
        <f>$C2*R2</f>
        <v/>
      </c>
      <c r="T2" s="15">
        <f>S2</f>
        <v/>
      </c>
      <c r="U2" s="16">
        <f>T2</f>
        <v/>
      </c>
      <c r="V2" s="39" t="n">
        <v>85</v>
      </c>
      <c r="W2" s="12">
        <f>$C2*V2</f>
        <v/>
      </c>
      <c r="X2" s="15">
        <f>W2</f>
        <v/>
      </c>
      <c r="Y2" s="16">
        <f>X2</f>
        <v/>
      </c>
      <c r="Z2" s="39" t="n">
        <v>60</v>
      </c>
      <c r="AA2" s="12">
        <f>$C2*Z2</f>
        <v/>
      </c>
      <c r="AB2" s="15">
        <f>AA2</f>
        <v/>
      </c>
      <c r="AC2" s="16">
        <f>AB2</f>
        <v/>
      </c>
    </row>
    <row r="3" customFormat="1" s="39">
      <c r="A3" s="30">
        <f>'2_MechAdd_Script'!A3</f>
        <v/>
      </c>
      <c r="B3" t="inlineStr">
        <is>
          <t>OTree_Diameter</t>
        </is>
      </c>
      <c r="C3" s="4" t="n">
        <v>1.25</v>
      </c>
      <c r="D3" s="8" t="n"/>
      <c r="E3" s="31" t="n"/>
      <c r="F3" s="39" t="n">
        <v>9.6</v>
      </c>
      <c r="G3" s="12">
        <f>$C3*F3</f>
        <v/>
      </c>
      <c r="H3" s="15">
        <f>G3</f>
        <v/>
      </c>
      <c r="I3" s="16">
        <f>H3</f>
        <v/>
      </c>
      <c r="K3" s="12">
        <f>$C3*J3</f>
        <v/>
      </c>
      <c r="L3" s="15">
        <f>K3</f>
        <v/>
      </c>
      <c r="M3" s="16">
        <f>L3</f>
        <v/>
      </c>
      <c r="O3" s="12">
        <f>$C3*N3</f>
        <v/>
      </c>
      <c r="P3" s="15">
        <f>O3</f>
        <v/>
      </c>
      <c r="Q3" s="16">
        <f>P3</f>
        <v/>
      </c>
      <c r="R3" s="39" t="n">
        <v>2.9</v>
      </c>
      <c r="S3" s="12">
        <f>$C3*R3</f>
        <v/>
      </c>
      <c r="T3" s="15">
        <f>S3</f>
        <v/>
      </c>
      <c r="U3" s="16">
        <f>T3</f>
        <v/>
      </c>
      <c r="V3" s="39" t="n">
        <v>14</v>
      </c>
      <c r="W3" s="12">
        <f>$C3*V3</f>
        <v/>
      </c>
      <c r="X3" s="15">
        <f>W3</f>
        <v/>
      </c>
      <c r="Y3" s="16">
        <f>X3</f>
        <v/>
      </c>
      <c r="Z3" s="39" t="n">
        <v>12</v>
      </c>
      <c r="AA3" s="12">
        <f>$C3*Z3</f>
        <v/>
      </c>
      <c r="AB3" s="15">
        <f>AA3</f>
        <v/>
      </c>
      <c r="AC3" s="16">
        <f>AB3</f>
        <v/>
      </c>
    </row>
    <row r="4" customFormat="1" s="39">
      <c r="A4" s="30">
        <f>'2_MechAdd_Script'!A4</f>
        <v/>
      </c>
      <c r="B4" t="inlineStr">
        <is>
          <t>OTree_HeightLiveCrown</t>
        </is>
      </c>
      <c r="C4" s="4" t="n">
        <v>1.5</v>
      </c>
      <c r="D4" s="8" t="n"/>
      <c r="E4" s="31" t="n"/>
      <c r="F4" s="39" t="n">
        <v>20</v>
      </c>
      <c r="G4" s="12">
        <f>$C4*F4</f>
        <v/>
      </c>
      <c r="H4" s="15">
        <f>G4</f>
        <v/>
      </c>
      <c r="I4" s="16">
        <f>H4</f>
        <v/>
      </c>
      <c r="K4" s="12">
        <f>$C4*J4</f>
        <v/>
      </c>
      <c r="L4" s="15">
        <f>K4</f>
        <v/>
      </c>
      <c r="M4" s="16">
        <f>L4</f>
        <v/>
      </c>
      <c r="O4" s="12">
        <f>$C4*N4</f>
        <v/>
      </c>
      <c r="P4" s="15">
        <f>O4</f>
        <v/>
      </c>
      <c r="Q4" s="16">
        <f>P4</f>
        <v/>
      </c>
      <c r="R4" s="39" t="n">
        <v>4</v>
      </c>
      <c r="S4" s="12">
        <f>$C4*R4</f>
        <v/>
      </c>
      <c r="T4" s="15">
        <f>S4</f>
        <v/>
      </c>
      <c r="U4" s="16">
        <f>T4</f>
        <v/>
      </c>
      <c r="V4" s="39" t="n">
        <v>20</v>
      </c>
      <c r="W4" s="12">
        <f>$C4*V4</f>
        <v/>
      </c>
      <c r="X4" s="15">
        <f>W4</f>
        <v/>
      </c>
      <c r="Y4" s="16">
        <f>X4</f>
        <v/>
      </c>
      <c r="Z4" s="39" t="n">
        <v>55</v>
      </c>
      <c r="AA4" s="12">
        <f>$C4*Z4</f>
        <v/>
      </c>
      <c r="AB4" s="15">
        <f>AA4</f>
        <v/>
      </c>
      <c r="AC4" s="16">
        <f>AB4</f>
        <v/>
      </c>
    </row>
    <row r="5" customFormat="1" s="39">
      <c r="A5" s="30">
        <f>'2_MechAdd_Script'!A5</f>
        <v/>
      </c>
      <c r="B5" t="inlineStr">
        <is>
          <t>OTree_Height</t>
        </is>
      </c>
      <c r="C5" s="4" t="n"/>
      <c r="D5" s="8" t="n"/>
      <c r="E5" s="31" t="n"/>
      <c r="F5" s="39" t="n">
        <v>100</v>
      </c>
      <c r="G5" s="12">
        <f>F5</f>
        <v/>
      </c>
      <c r="H5" s="15">
        <f>G5</f>
        <v/>
      </c>
      <c r="I5" s="16">
        <f>H5</f>
        <v/>
      </c>
      <c r="K5" s="12">
        <f>J5</f>
        <v/>
      </c>
      <c r="L5" s="15">
        <f>K5</f>
        <v/>
      </c>
      <c r="M5" s="16">
        <f>L5</f>
        <v/>
      </c>
      <c r="O5" s="12">
        <f>N5</f>
        <v/>
      </c>
      <c r="P5" s="15">
        <f>O5</f>
        <v/>
      </c>
      <c r="Q5" s="16">
        <f>P5</f>
        <v/>
      </c>
      <c r="R5" s="39" t="n">
        <v>25</v>
      </c>
      <c r="S5" s="12">
        <f>R5</f>
        <v/>
      </c>
      <c r="T5" s="15">
        <f>S5</f>
        <v/>
      </c>
      <c r="U5" s="16">
        <f>T5</f>
        <v/>
      </c>
      <c r="V5" s="39" t="n">
        <v>60</v>
      </c>
      <c r="W5" s="12">
        <f>V5</f>
        <v/>
      </c>
      <c r="X5" s="15">
        <f>W5</f>
        <v/>
      </c>
      <c r="Y5" s="16">
        <f>X5</f>
        <v/>
      </c>
      <c r="Z5" s="39" t="n">
        <v>78</v>
      </c>
      <c r="AA5" s="12">
        <f>Z5</f>
        <v/>
      </c>
      <c r="AB5" s="15">
        <f>AA5</f>
        <v/>
      </c>
      <c r="AC5" s="16">
        <f>AB5</f>
        <v/>
      </c>
    </row>
    <row r="6" customFormat="1" s="39">
      <c r="A6" s="30">
        <f>'2_MechAdd_Script'!A6</f>
        <v/>
      </c>
      <c r="B6" t="inlineStr">
        <is>
          <t>OTree_Cover</t>
        </is>
      </c>
      <c r="C6" s="4" t="n">
        <v>0.5</v>
      </c>
      <c r="D6" s="8" t="n"/>
      <c r="E6" s="31" t="n"/>
      <c r="F6" s="39" t="n">
        <v>40</v>
      </c>
      <c r="G6" s="12">
        <f>$C6*F6</f>
        <v/>
      </c>
      <c r="H6" s="15">
        <f>G6</f>
        <v/>
      </c>
      <c r="I6" s="16">
        <f>H6</f>
        <v/>
      </c>
      <c r="K6" s="12">
        <f>$C6*J6</f>
        <v/>
      </c>
      <c r="L6" s="15">
        <f>K6</f>
        <v/>
      </c>
      <c r="M6" s="16">
        <f>L6</f>
        <v/>
      </c>
      <c r="O6" s="12">
        <f>$C6*N6</f>
        <v/>
      </c>
      <c r="P6" s="15">
        <f>O6</f>
        <v/>
      </c>
      <c r="Q6" s="16">
        <f>P6</f>
        <v/>
      </c>
      <c r="R6" s="39" t="n">
        <v>80</v>
      </c>
      <c r="S6" s="12">
        <f>$C6*R6</f>
        <v/>
      </c>
      <c r="T6" s="15">
        <f>S6</f>
        <v/>
      </c>
      <c r="U6" s="16">
        <f>T6</f>
        <v/>
      </c>
      <c r="V6" s="39" t="n">
        <v>50</v>
      </c>
      <c r="W6" s="12">
        <f>$C6*V6</f>
        <v/>
      </c>
      <c r="X6" s="15">
        <f>W6</f>
        <v/>
      </c>
      <c r="Y6" s="16">
        <f>X6</f>
        <v/>
      </c>
      <c r="Z6" s="39" t="n">
        <v>50</v>
      </c>
      <c r="AA6" s="12">
        <f>$C6*Z6</f>
        <v/>
      </c>
      <c r="AB6" s="15">
        <f>AA6</f>
        <v/>
      </c>
      <c r="AC6" s="16">
        <f>AB6</f>
        <v/>
      </c>
    </row>
    <row r="7" customFormat="1" s="39">
      <c r="A7" s="30">
        <f>'2_MechAdd_Script'!A7</f>
        <v/>
      </c>
      <c r="B7" t="inlineStr">
        <is>
          <t>OTree_Density</t>
        </is>
      </c>
      <c r="C7" s="4" t="n">
        <v>0.5</v>
      </c>
      <c r="D7" s="8" t="n"/>
      <c r="E7" s="31" t="n"/>
      <c r="F7" s="39" t="n">
        <v>12</v>
      </c>
      <c r="G7" s="12">
        <f>$C7*F7</f>
        <v/>
      </c>
      <c r="H7" s="15">
        <f>G7</f>
        <v/>
      </c>
      <c r="I7" s="16">
        <f>H7</f>
        <v/>
      </c>
      <c r="K7" s="12">
        <f>$C7*J7</f>
        <v/>
      </c>
      <c r="L7" s="15">
        <f>K7</f>
        <v/>
      </c>
      <c r="M7" s="16">
        <f>L7</f>
        <v/>
      </c>
      <c r="O7" s="12">
        <f>$C7*N7</f>
        <v/>
      </c>
      <c r="P7" s="15">
        <f>O7</f>
        <v/>
      </c>
      <c r="Q7" s="16">
        <f>P7</f>
        <v/>
      </c>
      <c r="R7" s="39" t="n">
        <v>3500</v>
      </c>
      <c r="S7" s="12">
        <f>$C7*R7</f>
        <v/>
      </c>
      <c r="T7" s="15">
        <f>S7</f>
        <v/>
      </c>
      <c r="U7" s="16">
        <f>T7</f>
        <v/>
      </c>
      <c r="V7" s="39" t="n">
        <v>45</v>
      </c>
      <c r="W7" s="12">
        <f>$C7*V7</f>
        <v/>
      </c>
      <c r="X7" s="15">
        <f>W7</f>
        <v/>
      </c>
      <c r="Y7" s="16">
        <f>X7</f>
        <v/>
      </c>
      <c r="Z7" s="39" t="n">
        <v>100</v>
      </c>
      <c r="AA7" s="12">
        <f>$C7*Z7</f>
        <v/>
      </c>
      <c r="AB7" s="15">
        <f>AA7</f>
        <v/>
      </c>
      <c r="AC7" s="16">
        <f>AB7</f>
        <v/>
      </c>
    </row>
    <row r="8" customFormat="1" s="39">
      <c r="A8" s="30">
        <f>'2_MechAdd_Script'!A8</f>
        <v/>
      </c>
      <c r="B8" t="inlineStr">
        <is>
          <t>MTree_Diameter</t>
        </is>
      </c>
      <c r="C8" s="4" t="n">
        <v>1.25</v>
      </c>
      <c r="D8" s="8" t="n"/>
      <c r="E8" s="31" t="n"/>
      <c r="G8" s="12">
        <f>$C8*F8</f>
        <v/>
      </c>
      <c r="H8" s="15">
        <f>G8</f>
        <v/>
      </c>
      <c r="I8" s="16">
        <f>H8</f>
        <v/>
      </c>
      <c r="K8" s="12">
        <f>$C8*J8</f>
        <v/>
      </c>
      <c r="L8" s="15">
        <f>K8</f>
        <v/>
      </c>
      <c r="M8" s="16">
        <f>L8</f>
        <v/>
      </c>
      <c r="O8" s="12">
        <f>$C8*N8</f>
        <v/>
      </c>
      <c r="P8" s="15">
        <f>O8</f>
        <v/>
      </c>
      <c r="Q8" s="16">
        <f>P8</f>
        <v/>
      </c>
      <c r="S8" s="12">
        <f>$C8*R8</f>
        <v/>
      </c>
      <c r="T8" s="15">
        <f>S8</f>
        <v/>
      </c>
      <c r="U8" s="16">
        <f>T8</f>
        <v/>
      </c>
      <c r="V8" s="39" t="n">
        <v>7.5</v>
      </c>
      <c r="W8" s="12">
        <f>$C8*V8</f>
        <v/>
      </c>
      <c r="X8" s="15">
        <f>W8</f>
        <v/>
      </c>
      <c r="Y8" s="16">
        <f>X8</f>
        <v/>
      </c>
      <c r="AA8" s="12">
        <f>$C8*Z8</f>
        <v/>
      </c>
      <c r="AB8" s="15">
        <f>AA8</f>
        <v/>
      </c>
      <c r="AC8" s="16">
        <f>AB8</f>
        <v/>
      </c>
    </row>
    <row r="9" customFormat="1" s="39">
      <c r="A9" s="30">
        <f>'2_MechAdd_Script'!A9</f>
        <v/>
      </c>
      <c r="B9" t="inlineStr">
        <is>
          <t>MTree_HeightLiveCrown</t>
        </is>
      </c>
      <c r="C9" s="4" t="n">
        <v>1.5</v>
      </c>
      <c r="D9" s="8" t="n"/>
      <c r="E9" s="31" t="n"/>
      <c r="G9" s="12">
        <f>$C9*F9</f>
        <v/>
      </c>
      <c r="H9" s="15">
        <f>G9</f>
        <v/>
      </c>
      <c r="I9" s="16">
        <f>H9</f>
        <v/>
      </c>
      <c r="K9" s="12">
        <f>$C9*J9</f>
        <v/>
      </c>
      <c r="L9" s="15">
        <f>K9</f>
        <v/>
      </c>
      <c r="M9" s="16">
        <f>L9</f>
        <v/>
      </c>
      <c r="O9" s="12">
        <f>$C9*N9</f>
        <v/>
      </c>
      <c r="P9" s="15">
        <f>O9</f>
        <v/>
      </c>
      <c r="Q9" s="16">
        <f>P9</f>
        <v/>
      </c>
      <c r="S9" s="12">
        <f>$C9*R9</f>
        <v/>
      </c>
      <c r="T9" s="15">
        <f>S9</f>
        <v/>
      </c>
      <c r="U9" s="16">
        <f>T9</f>
        <v/>
      </c>
      <c r="V9" s="39" t="n">
        <v>10</v>
      </c>
      <c r="W9" s="12">
        <f>$C9*V9</f>
        <v/>
      </c>
      <c r="X9" s="15">
        <f>W9</f>
        <v/>
      </c>
      <c r="Y9" s="16">
        <f>X9</f>
        <v/>
      </c>
      <c r="AA9" s="12">
        <f>$C9*Z9</f>
        <v/>
      </c>
      <c r="AB9" s="15">
        <f>AA9</f>
        <v/>
      </c>
      <c r="AC9" s="16">
        <f>AB9</f>
        <v/>
      </c>
    </row>
    <row r="10" customFormat="1" s="39">
      <c r="A10" s="30">
        <f>'2_MechAdd_Script'!A10</f>
        <v/>
      </c>
      <c r="B10" t="inlineStr">
        <is>
          <t>MTree_Height</t>
        </is>
      </c>
      <c r="C10" s="4" t="n"/>
      <c r="D10" s="8" t="n"/>
      <c r="E10" s="31" t="n"/>
      <c r="G10" s="12">
        <f>F10</f>
        <v/>
      </c>
      <c r="H10" s="15">
        <f>G10</f>
        <v/>
      </c>
      <c r="I10" s="16">
        <f>H10</f>
        <v/>
      </c>
      <c r="K10" s="12">
        <f>J10</f>
        <v/>
      </c>
      <c r="L10" s="15">
        <f>K10</f>
        <v/>
      </c>
      <c r="M10" s="16">
        <f>L10</f>
        <v/>
      </c>
      <c r="O10" s="12">
        <f>N10</f>
        <v/>
      </c>
      <c r="P10" s="15">
        <f>O10</f>
        <v/>
      </c>
      <c r="Q10" s="16">
        <f>P10</f>
        <v/>
      </c>
      <c r="S10" s="12">
        <f>R10</f>
        <v/>
      </c>
      <c r="T10" s="15">
        <f>S10</f>
        <v/>
      </c>
      <c r="U10" s="16">
        <f>T10</f>
        <v/>
      </c>
      <c r="V10" s="39" t="n">
        <v>44</v>
      </c>
      <c r="W10" s="12">
        <f>V10</f>
        <v/>
      </c>
      <c r="X10" s="15">
        <f>W10</f>
        <v/>
      </c>
      <c r="Y10" s="16">
        <f>X10</f>
        <v/>
      </c>
      <c r="AA10" s="12">
        <f>Z10</f>
        <v/>
      </c>
      <c r="AB10" s="15">
        <f>AA10</f>
        <v/>
      </c>
      <c r="AC10" s="16">
        <f>AB10</f>
        <v/>
      </c>
    </row>
    <row r="11" customFormat="1" s="39">
      <c r="A11" s="30">
        <f>'2_MechAdd_Script'!A11</f>
        <v/>
      </c>
      <c r="B11" t="inlineStr">
        <is>
          <t>MTree_Cover</t>
        </is>
      </c>
      <c r="C11" s="4" t="n">
        <v>0.5</v>
      </c>
      <c r="D11" s="8" t="n"/>
      <c r="E11" s="31" t="n"/>
      <c r="G11" s="12">
        <f>$C11*F11</f>
        <v/>
      </c>
      <c r="H11" s="15">
        <f>G11</f>
        <v/>
      </c>
      <c r="I11" s="16">
        <f>H11</f>
        <v/>
      </c>
      <c r="K11" s="12">
        <f>$C11*J11</f>
        <v/>
      </c>
      <c r="L11" s="15">
        <f>K11</f>
        <v/>
      </c>
      <c r="M11" s="16">
        <f>L11</f>
        <v/>
      </c>
      <c r="O11" s="12">
        <f>$C11*N11</f>
        <v/>
      </c>
      <c r="P11" s="15">
        <f>O11</f>
        <v/>
      </c>
      <c r="Q11" s="16">
        <f>P11</f>
        <v/>
      </c>
      <c r="S11" s="12">
        <f>$C11*R11</f>
        <v/>
      </c>
      <c r="T11" s="15">
        <f>S11</f>
        <v/>
      </c>
      <c r="U11" s="16">
        <f>T11</f>
        <v/>
      </c>
      <c r="V11" s="39" t="n">
        <v>50</v>
      </c>
      <c r="W11" s="12">
        <f>$C11*V11</f>
        <v/>
      </c>
      <c r="X11" s="15">
        <f>W11</f>
        <v/>
      </c>
      <c r="Y11" s="16">
        <f>X11</f>
        <v/>
      </c>
      <c r="AA11" s="12">
        <f>$C11*Z11</f>
        <v/>
      </c>
      <c r="AB11" s="15">
        <f>AA11</f>
        <v/>
      </c>
      <c r="AC11" s="16">
        <f>AB11</f>
        <v/>
      </c>
    </row>
    <row r="12" customFormat="1" s="39">
      <c r="A12" s="30">
        <f>'2_MechAdd_Script'!A12</f>
        <v/>
      </c>
      <c r="B12" t="inlineStr">
        <is>
          <t>MTree_Density</t>
        </is>
      </c>
      <c r="C12" s="4" t="n">
        <v>0.5</v>
      </c>
      <c r="D12" s="8" t="n"/>
      <c r="E12" s="31" t="n"/>
      <c r="G12" s="12">
        <f>$C12*F12</f>
        <v/>
      </c>
      <c r="H12" s="15">
        <f>G12</f>
        <v/>
      </c>
      <c r="I12" s="16">
        <f>H12</f>
        <v/>
      </c>
      <c r="K12" s="12">
        <f>$C12*J12</f>
        <v/>
      </c>
      <c r="L12" s="15">
        <f>K12</f>
        <v/>
      </c>
      <c r="M12" s="16">
        <f>L12</f>
        <v/>
      </c>
      <c r="O12" s="12">
        <f>$C12*N12</f>
        <v/>
      </c>
      <c r="P12" s="15">
        <f>O12</f>
        <v/>
      </c>
      <c r="Q12" s="16">
        <f>P12</f>
        <v/>
      </c>
      <c r="S12" s="12">
        <f>$C12*R12</f>
        <v/>
      </c>
      <c r="T12" s="15">
        <f>S12</f>
        <v/>
      </c>
      <c r="U12" s="16">
        <f>T12</f>
        <v/>
      </c>
      <c r="V12" s="39" t="n">
        <v>150</v>
      </c>
      <c r="W12" s="12">
        <f>$C12*V12</f>
        <v/>
      </c>
      <c r="X12" s="15">
        <f>W12</f>
        <v/>
      </c>
      <c r="Y12" s="16">
        <f>X12</f>
        <v/>
      </c>
      <c r="AA12" s="12">
        <f>$C12*Z12</f>
        <v/>
      </c>
      <c r="AB12" s="15">
        <f>AA12</f>
        <v/>
      </c>
      <c r="AC12" s="16">
        <f>AB12</f>
        <v/>
      </c>
    </row>
    <row r="13" customFormat="1" s="39">
      <c r="A13" s="30">
        <f>'2_MechAdd_Script'!A13</f>
        <v/>
      </c>
      <c r="B13" t="inlineStr">
        <is>
          <t>UTree_Diameter</t>
        </is>
      </c>
      <c r="C13" s="4" t="n">
        <v>0</v>
      </c>
      <c r="D13" s="8" t="n"/>
      <c r="E13" s="31" t="n"/>
      <c r="G13" s="12">
        <f>$C13*F13</f>
        <v/>
      </c>
      <c r="H13" s="15">
        <f>G13</f>
        <v/>
      </c>
      <c r="I13" s="16">
        <f>H13</f>
        <v/>
      </c>
      <c r="K13" s="12">
        <f>$C13*J13</f>
        <v/>
      </c>
      <c r="L13" s="15">
        <f>K13</f>
        <v/>
      </c>
      <c r="M13" s="16">
        <f>L13</f>
        <v/>
      </c>
      <c r="O13" s="12">
        <f>$C13*N13</f>
        <v/>
      </c>
      <c r="P13" s="15">
        <f>O13</f>
        <v/>
      </c>
      <c r="Q13" s="16">
        <f>P13</f>
        <v/>
      </c>
      <c r="R13" s="39" t="n">
        <v>0.5</v>
      </c>
      <c r="S13" s="12">
        <f>$C13*R13</f>
        <v/>
      </c>
      <c r="T13" s="15">
        <f>S13</f>
        <v/>
      </c>
      <c r="U13" s="16">
        <f>T13</f>
        <v/>
      </c>
      <c r="V13" s="39" t="n">
        <v>1.7</v>
      </c>
      <c r="W13" s="12">
        <f>$C13*V13</f>
        <v/>
      </c>
      <c r="X13" s="15">
        <f>W13</f>
        <v/>
      </c>
      <c r="Y13" s="16">
        <f>X13</f>
        <v/>
      </c>
      <c r="Z13" s="39" t="n">
        <v>1</v>
      </c>
      <c r="AA13" s="12">
        <f>$C13*Z13</f>
        <v/>
      </c>
      <c r="AB13" s="15">
        <f>AA13</f>
        <v/>
      </c>
      <c r="AC13" s="16">
        <f>AB13</f>
        <v/>
      </c>
    </row>
    <row r="14" customFormat="1" s="39">
      <c r="A14" s="30">
        <f>'2_MechAdd_Script'!A14</f>
        <v/>
      </c>
      <c r="B14" t="inlineStr">
        <is>
          <t>UTree_HeightLiveCrown</t>
        </is>
      </c>
      <c r="C14" s="4" t="n">
        <v>0</v>
      </c>
      <c r="D14" s="8" t="n"/>
      <c r="E14" s="31" t="n"/>
      <c r="G14" s="12">
        <f>$C14*F14</f>
        <v/>
      </c>
      <c r="H14" s="15">
        <f>G14</f>
        <v/>
      </c>
      <c r="I14" s="16">
        <f>H14</f>
        <v/>
      </c>
      <c r="K14" s="12">
        <f>$C14*J14</f>
        <v/>
      </c>
      <c r="L14" s="15">
        <f>K14</f>
        <v/>
      </c>
      <c r="M14" s="16">
        <f>L14</f>
        <v/>
      </c>
      <c r="O14" s="12">
        <f>$C14*N14</f>
        <v/>
      </c>
      <c r="P14" s="15">
        <f>O14</f>
        <v/>
      </c>
      <c r="Q14" s="16">
        <f>P14</f>
        <v/>
      </c>
      <c r="R14" s="39" t="n">
        <v>0</v>
      </c>
      <c r="S14" s="12">
        <f>$C14*R14</f>
        <v/>
      </c>
      <c r="T14" s="15">
        <f>S14</f>
        <v/>
      </c>
      <c r="U14" s="16">
        <f>T14</f>
        <v/>
      </c>
      <c r="V14" s="39" t="n">
        <v>2</v>
      </c>
      <c r="W14" s="12">
        <f>$C14*V14</f>
        <v/>
      </c>
      <c r="X14" s="15">
        <f>W14</f>
        <v/>
      </c>
      <c r="Y14" s="16">
        <f>X14</f>
        <v/>
      </c>
      <c r="Z14" s="39" t="n">
        <v>2</v>
      </c>
      <c r="AA14" s="12">
        <f>$C14*Z14</f>
        <v/>
      </c>
      <c r="AB14" s="15">
        <f>AA14</f>
        <v/>
      </c>
      <c r="AC14" s="16">
        <f>AB14</f>
        <v/>
      </c>
    </row>
    <row r="15" customFormat="1" s="39">
      <c r="A15" s="30">
        <f>'2_MechAdd_Script'!A15</f>
        <v/>
      </c>
      <c r="B15" t="inlineStr">
        <is>
          <t>UTree_Height</t>
        </is>
      </c>
      <c r="C15" s="4" t="n">
        <v>0</v>
      </c>
      <c r="D15" s="8" t="n"/>
      <c r="E15" s="31" t="n"/>
      <c r="G15" s="12">
        <f>$C15*F15</f>
        <v/>
      </c>
      <c r="H15" s="15">
        <f>G15</f>
        <v/>
      </c>
      <c r="I15" s="16">
        <f>H15</f>
        <v/>
      </c>
      <c r="K15" s="12">
        <f>$C15*J15</f>
        <v/>
      </c>
      <c r="L15" s="15">
        <f>K15</f>
        <v/>
      </c>
      <c r="M15" s="16">
        <f>L15</f>
        <v/>
      </c>
      <c r="O15" s="12">
        <f>$C15*N15</f>
        <v/>
      </c>
      <c r="P15" s="15">
        <f>O15</f>
        <v/>
      </c>
      <c r="Q15" s="16">
        <f>P15</f>
        <v/>
      </c>
      <c r="R15" s="39" t="n">
        <v>1.5</v>
      </c>
      <c r="S15" s="12">
        <f>$C15*R15</f>
        <v/>
      </c>
      <c r="T15" s="15">
        <f>S15</f>
        <v/>
      </c>
      <c r="U15" s="16">
        <f>T15</f>
        <v/>
      </c>
      <c r="V15" s="39" t="n">
        <v>10</v>
      </c>
      <c r="W15" s="12">
        <f>$C15*V15</f>
        <v/>
      </c>
      <c r="X15" s="15">
        <f>W15</f>
        <v/>
      </c>
      <c r="Y15" s="16">
        <f>X15</f>
        <v/>
      </c>
      <c r="Z15" s="39" t="n">
        <v>5</v>
      </c>
      <c r="AA15" s="12">
        <f>$C15*Z15</f>
        <v/>
      </c>
      <c r="AB15" s="15">
        <f>AA15</f>
        <v/>
      </c>
      <c r="AC15" s="16">
        <f>AB15</f>
        <v/>
      </c>
    </row>
    <row r="16" customFormat="1" s="39">
      <c r="A16" s="30">
        <f>'2_MechAdd_Script'!A16</f>
        <v/>
      </c>
      <c r="B16" t="inlineStr">
        <is>
          <t>UTree_Cover</t>
        </is>
      </c>
      <c r="C16" s="4" t="n">
        <v>0</v>
      </c>
      <c r="D16" s="8" t="n"/>
      <c r="E16" s="31" t="n"/>
      <c r="G16" s="12">
        <f>$C16*F16</f>
        <v/>
      </c>
      <c r="H16" s="15">
        <f>G16</f>
        <v/>
      </c>
      <c r="I16" s="16">
        <f>H16</f>
        <v/>
      </c>
      <c r="K16" s="12">
        <f>$C16*J16</f>
        <v/>
      </c>
      <c r="L16" s="15">
        <f>K16</f>
        <v/>
      </c>
      <c r="M16" s="16">
        <f>L16</f>
        <v/>
      </c>
      <c r="O16" s="12">
        <f>$C16*N16</f>
        <v/>
      </c>
      <c r="P16" s="15">
        <f>O16</f>
        <v/>
      </c>
      <c r="Q16" s="16">
        <f>P16</f>
        <v/>
      </c>
      <c r="R16" s="39" t="n">
        <v>3</v>
      </c>
      <c r="S16" s="12">
        <f>$C16*R16</f>
        <v/>
      </c>
      <c r="T16" s="15">
        <f>S16</f>
        <v/>
      </c>
      <c r="U16" s="16">
        <f>T16</f>
        <v/>
      </c>
      <c r="V16" s="39" t="n">
        <v>30</v>
      </c>
      <c r="W16" s="12">
        <f>$C16*V16</f>
        <v/>
      </c>
      <c r="X16" s="15">
        <f>W16</f>
        <v/>
      </c>
      <c r="Y16" s="16">
        <f>X16</f>
        <v/>
      </c>
      <c r="Z16" s="39" t="n">
        <v>5</v>
      </c>
      <c r="AA16" s="12">
        <f>$C16*Z16</f>
        <v/>
      </c>
      <c r="AB16" s="15">
        <f>AA16</f>
        <v/>
      </c>
      <c r="AC16" s="16">
        <f>AB16</f>
        <v/>
      </c>
    </row>
    <row r="17" customFormat="1" s="39">
      <c r="A17" s="30">
        <f>'2_MechAdd_Script'!A17</f>
        <v/>
      </c>
      <c r="B17" t="inlineStr">
        <is>
          <t>UTree_Density</t>
        </is>
      </c>
      <c r="C17" s="4" t="n">
        <v>0</v>
      </c>
      <c r="D17" s="8" t="n"/>
      <c r="E17" s="31" t="n"/>
      <c r="G17" s="12">
        <f>$C17*F17</f>
        <v/>
      </c>
      <c r="H17" s="15">
        <f>G17</f>
        <v/>
      </c>
      <c r="I17" s="16">
        <f>H17</f>
        <v/>
      </c>
      <c r="K17" s="12">
        <f>$C17*J17</f>
        <v/>
      </c>
      <c r="L17" s="15">
        <f>K17</f>
        <v/>
      </c>
      <c r="M17" s="16">
        <f>L17</f>
        <v/>
      </c>
      <c r="O17" s="12">
        <f>$C17*N17</f>
        <v/>
      </c>
      <c r="P17" s="15">
        <f>O17</f>
        <v/>
      </c>
      <c r="Q17" s="16">
        <f>P17</f>
        <v/>
      </c>
      <c r="R17" s="39" t="n">
        <v>1000</v>
      </c>
      <c r="S17" s="12">
        <f>$C17*R17</f>
        <v/>
      </c>
      <c r="T17" s="15">
        <f>S17</f>
        <v/>
      </c>
      <c r="U17" s="16">
        <f>T17</f>
        <v/>
      </c>
      <c r="V17" s="39" t="n">
        <v>1000</v>
      </c>
      <c r="W17" s="12">
        <f>$C17*V17</f>
        <v/>
      </c>
      <c r="X17" s="15">
        <f>W17</f>
        <v/>
      </c>
      <c r="Y17" s="16">
        <f>X17</f>
        <v/>
      </c>
      <c r="Z17" s="39" t="n">
        <v>25</v>
      </c>
      <c r="AA17" s="12">
        <f>$C17*Z17</f>
        <v/>
      </c>
      <c r="AB17" s="15">
        <f>AA17</f>
        <v/>
      </c>
      <c r="AC17" s="16">
        <f>AB17</f>
        <v/>
      </c>
    </row>
    <row r="18" customFormat="1" s="39">
      <c r="A18" s="30">
        <f>'2_MechAdd_Script'!A18</f>
        <v/>
      </c>
      <c r="B18" t="inlineStr">
        <is>
          <t>C1Snag_Diameter</t>
        </is>
      </c>
      <c r="C18" s="4" t="n"/>
      <c r="D18" s="8" t="n"/>
      <c r="E18" s="31" t="n"/>
      <c r="G18" s="12">
        <f>F18</f>
        <v/>
      </c>
      <c r="H18" s="15">
        <f>G18</f>
        <v/>
      </c>
      <c r="I18" s="16">
        <f>H18</f>
        <v/>
      </c>
      <c r="K18" s="12">
        <f>J18</f>
        <v/>
      </c>
      <c r="L18" s="15">
        <f>K18</f>
        <v/>
      </c>
      <c r="M18" s="16">
        <f>L18</f>
        <v/>
      </c>
      <c r="O18" s="12">
        <f>N18</f>
        <v/>
      </c>
      <c r="P18" s="15">
        <f>O18</f>
        <v/>
      </c>
      <c r="Q18" s="16">
        <f>P18</f>
        <v/>
      </c>
      <c r="R18" s="39" t="n">
        <v>3.5</v>
      </c>
      <c r="S18" s="12">
        <f>R18</f>
        <v/>
      </c>
      <c r="T18" s="15">
        <f>S18</f>
        <v/>
      </c>
      <c r="U18" s="16">
        <f>T18</f>
        <v/>
      </c>
      <c r="V18" s="39" t="n">
        <v>13</v>
      </c>
      <c r="W18" s="12">
        <f>V18</f>
        <v/>
      </c>
      <c r="X18" s="15">
        <f>W18</f>
        <v/>
      </c>
      <c r="Y18" s="16">
        <f>X18</f>
        <v/>
      </c>
      <c r="AA18" s="12">
        <f>Z18</f>
        <v/>
      </c>
      <c r="AB18" s="15">
        <f>AA18</f>
        <v/>
      </c>
      <c r="AC18" s="16">
        <f>AB18</f>
        <v/>
      </c>
    </row>
    <row r="19" customFormat="1" s="39">
      <c r="A19" s="30">
        <f>'2_MechAdd_Script'!A19</f>
        <v/>
      </c>
      <c r="B19" t="inlineStr">
        <is>
          <t>C1Snag_Height</t>
        </is>
      </c>
      <c r="C19" s="4" t="n"/>
      <c r="D19" s="8" t="n"/>
      <c r="E19" s="31" t="n"/>
      <c r="G19" s="12">
        <f>F19</f>
        <v/>
      </c>
      <c r="H19" s="15">
        <f>G19</f>
        <v/>
      </c>
      <c r="I19" s="16">
        <f>H19</f>
        <v/>
      </c>
      <c r="K19" s="12">
        <f>J19</f>
        <v/>
      </c>
      <c r="L19" s="15">
        <f>K19</f>
        <v/>
      </c>
      <c r="M19" s="16">
        <f>L19</f>
        <v/>
      </c>
      <c r="O19" s="12">
        <f>N19</f>
        <v/>
      </c>
      <c r="P19" s="15">
        <f>O19</f>
        <v/>
      </c>
      <c r="Q19" s="16">
        <f>P19</f>
        <v/>
      </c>
      <c r="R19" s="39" t="n">
        <v>25</v>
      </c>
      <c r="S19" s="12">
        <f>R19</f>
        <v/>
      </c>
      <c r="T19" s="15">
        <f>S19</f>
        <v/>
      </c>
      <c r="U19" s="16">
        <f>T19</f>
        <v/>
      </c>
      <c r="V19" s="39" t="n">
        <v>55</v>
      </c>
      <c r="W19" s="12">
        <f>V19</f>
        <v/>
      </c>
      <c r="X19" s="15">
        <f>W19</f>
        <v/>
      </c>
      <c r="Y19" s="16">
        <f>X19</f>
        <v/>
      </c>
      <c r="AA19" s="12">
        <f>Z19</f>
        <v/>
      </c>
      <c r="AB19" s="15">
        <f>AA19</f>
        <v/>
      </c>
      <c r="AC19" s="16">
        <f>AB19</f>
        <v/>
      </c>
    </row>
    <row r="20" customFormat="1" s="39">
      <c r="A20" s="30">
        <f>'2_MechAdd_Script'!A20</f>
        <v/>
      </c>
      <c r="B20" t="inlineStr">
        <is>
          <t>C1Snag_Density</t>
        </is>
      </c>
      <c r="C20" s="4" t="n"/>
      <c r="D20" s="8" t="n"/>
      <c r="E20" s="31" t="n"/>
      <c r="G20" s="12">
        <f>F20</f>
        <v/>
      </c>
      <c r="H20" s="15">
        <f>G20</f>
        <v/>
      </c>
      <c r="I20" s="16">
        <f>H20</f>
        <v/>
      </c>
      <c r="K20" s="12">
        <f>J20</f>
        <v/>
      </c>
      <c r="L20" s="15">
        <f>K20</f>
        <v/>
      </c>
      <c r="M20" s="16">
        <f>L20</f>
        <v/>
      </c>
      <c r="O20" s="12">
        <f>N20</f>
        <v/>
      </c>
      <c r="P20" s="15">
        <f>O20</f>
        <v/>
      </c>
      <c r="Q20" s="16">
        <f>P20</f>
        <v/>
      </c>
      <c r="R20" s="39" t="n">
        <v>100</v>
      </c>
      <c r="S20" s="12">
        <f>R20</f>
        <v/>
      </c>
      <c r="T20" s="15">
        <f>S20</f>
        <v/>
      </c>
      <c r="U20" s="16">
        <f>T20</f>
        <v/>
      </c>
      <c r="V20" s="39" t="n">
        <v>5</v>
      </c>
      <c r="W20" s="12">
        <f>V20</f>
        <v/>
      </c>
      <c r="X20" s="15">
        <f>W20</f>
        <v/>
      </c>
      <c r="Y20" s="16">
        <f>X20</f>
        <v/>
      </c>
      <c r="AA20" s="12">
        <f>Z20</f>
        <v/>
      </c>
      <c r="AB20" s="15">
        <f>AA20</f>
        <v/>
      </c>
      <c r="AC20" s="16">
        <f>AB20</f>
        <v/>
      </c>
    </row>
    <row r="21" customFormat="1" s="39">
      <c r="A21" s="30">
        <f>'2_MechAdd_Script'!A21</f>
        <v/>
      </c>
      <c r="B21" t="inlineStr">
        <is>
          <t>C1FSnag_HeightCrownBase</t>
        </is>
      </c>
      <c r="C21" s="4" t="n"/>
      <c r="D21" s="8" t="n"/>
      <c r="E21" s="31" t="n"/>
      <c r="G21" s="12">
        <f>F21</f>
        <v/>
      </c>
      <c r="H21" s="15">
        <f>G21</f>
        <v/>
      </c>
      <c r="I21" s="16">
        <f>H21</f>
        <v/>
      </c>
      <c r="K21" s="12">
        <f>J21</f>
        <v/>
      </c>
      <c r="L21" s="15">
        <f>K21</f>
        <v/>
      </c>
      <c r="M21" s="16">
        <f>L21</f>
        <v/>
      </c>
      <c r="O21" s="12">
        <f>N21</f>
        <v/>
      </c>
      <c r="P21" s="15">
        <f>O21</f>
        <v/>
      </c>
      <c r="Q21" s="16">
        <f>P21</f>
        <v/>
      </c>
      <c r="S21" s="12">
        <f>R21</f>
        <v/>
      </c>
      <c r="T21" s="15">
        <f>S21</f>
        <v/>
      </c>
      <c r="U21" s="16">
        <f>T21</f>
        <v/>
      </c>
      <c r="V21" s="39" t="n">
        <v>33.35</v>
      </c>
      <c r="W21" s="12">
        <f>V21</f>
        <v/>
      </c>
      <c r="X21" s="15">
        <f>W21</f>
        <v/>
      </c>
      <c r="Y21" s="16">
        <f>X21</f>
        <v/>
      </c>
      <c r="AA21" s="12">
        <f>Z21</f>
        <v/>
      </c>
      <c r="AB21" s="15">
        <f>AA21</f>
        <v/>
      </c>
      <c r="AC21" s="16">
        <f>AB21</f>
        <v/>
      </c>
    </row>
    <row r="22" customFormat="1" s="39">
      <c r="A22" s="30">
        <f>'2_MechAdd_Script'!A22</f>
        <v/>
      </c>
      <c r="B22" t="inlineStr">
        <is>
          <t>C1FSnag_Diameter</t>
        </is>
      </c>
      <c r="C22" s="4" t="n"/>
      <c r="D22" s="8" t="n"/>
      <c r="E22" s="31" t="n"/>
      <c r="G22" s="12">
        <f>F22</f>
        <v/>
      </c>
      <c r="H22" s="15">
        <f>G22</f>
        <v/>
      </c>
      <c r="I22" s="16">
        <f>H22</f>
        <v/>
      </c>
      <c r="K22" s="12">
        <f>J22</f>
        <v/>
      </c>
      <c r="L22" s="15">
        <f>K22</f>
        <v/>
      </c>
      <c r="M22" s="16">
        <f>L22</f>
        <v/>
      </c>
      <c r="O22" s="12">
        <f>N22</f>
        <v/>
      </c>
      <c r="P22" s="15">
        <f>O22</f>
        <v/>
      </c>
      <c r="Q22" s="16">
        <f>P22</f>
        <v/>
      </c>
      <c r="S22" s="12">
        <f>R22</f>
        <v/>
      </c>
      <c r="T22" s="15">
        <f>S22</f>
        <v/>
      </c>
      <c r="U22" s="16">
        <f>T22</f>
        <v/>
      </c>
      <c r="V22" s="39" t="n">
        <v>9</v>
      </c>
      <c r="W22" s="12">
        <f>V22</f>
        <v/>
      </c>
      <c r="X22" s="15">
        <f>W22</f>
        <v/>
      </c>
      <c r="Y22" s="16">
        <f>X22</f>
        <v/>
      </c>
      <c r="AA22" s="12">
        <f>Z22</f>
        <v/>
      </c>
      <c r="AB22" s="15">
        <f>AA22</f>
        <v/>
      </c>
      <c r="AC22" s="16">
        <f>AB22</f>
        <v/>
      </c>
    </row>
    <row r="23" customFormat="1" s="39">
      <c r="A23" s="30">
        <f>'2_MechAdd_Script'!A23</f>
        <v/>
      </c>
      <c r="B23" t="inlineStr">
        <is>
          <t>C1FSnag_Height</t>
        </is>
      </c>
      <c r="C23" s="4" t="n"/>
      <c r="D23" s="8" t="n"/>
      <c r="E23" s="31" t="n"/>
      <c r="G23" s="12">
        <f>F23</f>
        <v/>
      </c>
      <c r="H23" s="15">
        <f>G23</f>
        <v/>
      </c>
      <c r="I23" s="16">
        <f>H23</f>
        <v/>
      </c>
      <c r="K23" s="12">
        <f>J23</f>
        <v/>
      </c>
      <c r="L23" s="15">
        <f>K23</f>
        <v/>
      </c>
      <c r="M23" s="16">
        <f>L23</f>
        <v/>
      </c>
      <c r="O23" s="12">
        <f>N23</f>
        <v/>
      </c>
      <c r="P23" s="15">
        <f>O23</f>
        <v/>
      </c>
      <c r="Q23" s="16">
        <f>P23</f>
        <v/>
      </c>
      <c r="S23" s="12">
        <f>R23</f>
        <v/>
      </c>
      <c r="T23" s="15">
        <f>S23</f>
        <v/>
      </c>
      <c r="U23" s="16">
        <f>T23</f>
        <v/>
      </c>
      <c r="V23" s="39" t="n">
        <v>50</v>
      </c>
      <c r="W23" s="12">
        <f>V23</f>
        <v/>
      </c>
      <c r="X23" s="15">
        <f>W23</f>
        <v/>
      </c>
      <c r="Y23" s="16">
        <f>X23</f>
        <v/>
      </c>
      <c r="AA23" s="12">
        <f>Z23</f>
        <v/>
      </c>
      <c r="AB23" s="15">
        <f>AA23</f>
        <v/>
      </c>
      <c r="AC23" s="16">
        <f>AB23</f>
        <v/>
      </c>
    </row>
    <row r="24" customFormat="1" s="39">
      <c r="A24" s="30">
        <f>'2_MechAdd_Script'!A24</f>
        <v/>
      </c>
      <c r="B24" t="inlineStr">
        <is>
          <t>C1FSnag_Cover</t>
        </is>
      </c>
      <c r="C24" s="4" t="n"/>
      <c r="D24" s="8" t="n"/>
      <c r="E24" s="31" t="n"/>
      <c r="G24" s="12">
        <f>F24</f>
        <v/>
      </c>
      <c r="H24" s="15">
        <f>G24</f>
        <v/>
      </c>
      <c r="I24" s="16">
        <f>H24</f>
        <v/>
      </c>
      <c r="K24" s="12">
        <f>J24</f>
        <v/>
      </c>
      <c r="L24" s="15">
        <f>K24</f>
        <v/>
      </c>
      <c r="M24" s="16">
        <f>L24</f>
        <v/>
      </c>
      <c r="O24" s="12">
        <f>N24</f>
        <v/>
      </c>
      <c r="P24" s="15">
        <f>O24</f>
        <v/>
      </c>
      <c r="Q24" s="16">
        <f>P24</f>
        <v/>
      </c>
      <c r="S24" s="12">
        <f>R24</f>
        <v/>
      </c>
      <c r="T24" s="15">
        <f>S24</f>
        <v/>
      </c>
      <c r="U24" s="16">
        <f>T24</f>
        <v/>
      </c>
      <c r="V24" s="39" t="n">
        <v>0.5071</v>
      </c>
      <c r="W24" s="12">
        <f>V24</f>
        <v/>
      </c>
      <c r="X24" s="15">
        <f>W24</f>
        <v/>
      </c>
      <c r="Y24" s="16">
        <f>X24</f>
        <v/>
      </c>
      <c r="AA24" s="12">
        <f>Z24</f>
        <v/>
      </c>
      <c r="AB24" s="15">
        <f>AA24</f>
        <v/>
      </c>
      <c r="AC24" s="16">
        <f>AB24</f>
        <v/>
      </c>
    </row>
    <row r="25" customFormat="1" s="39">
      <c r="A25" s="30">
        <f>'2_MechAdd_Script'!A25</f>
        <v/>
      </c>
      <c r="B25" t="inlineStr">
        <is>
          <t>C1FSnag_Density</t>
        </is>
      </c>
      <c r="C25" s="4" t="n"/>
      <c r="D25" s="8" t="n"/>
      <c r="E25" s="31" t="n"/>
      <c r="G25" s="12">
        <f>F25</f>
        <v/>
      </c>
      <c r="H25" s="15">
        <f>G25</f>
        <v/>
      </c>
      <c r="I25" s="16">
        <f>H25</f>
        <v/>
      </c>
      <c r="K25" s="12">
        <f>J25</f>
        <v/>
      </c>
      <c r="L25" s="15">
        <f>K25</f>
        <v/>
      </c>
      <c r="M25" s="16">
        <f>L25</f>
        <v/>
      </c>
      <c r="O25" s="12">
        <f>N25</f>
        <v/>
      </c>
      <c r="P25" s="15">
        <f>O25</f>
        <v/>
      </c>
      <c r="Q25" s="16">
        <f>P25</f>
        <v/>
      </c>
      <c r="S25" s="12">
        <f>R25</f>
        <v/>
      </c>
      <c r="T25" s="15">
        <f>S25</f>
        <v/>
      </c>
      <c r="U25" s="16">
        <f>T25</f>
        <v/>
      </c>
      <c r="V25" s="39" t="n">
        <v>5</v>
      </c>
      <c r="W25" s="12">
        <f>V25</f>
        <v/>
      </c>
      <c r="X25" s="15">
        <f>W25</f>
        <v/>
      </c>
      <c r="Y25" s="16">
        <f>X25</f>
        <v/>
      </c>
      <c r="AA25" s="12">
        <f>Z25</f>
        <v/>
      </c>
      <c r="AB25" s="15">
        <f>AA25</f>
        <v/>
      </c>
      <c r="AC25" s="16">
        <f>AB25</f>
        <v/>
      </c>
    </row>
    <row r="26" customFormat="1" s="39">
      <c r="A26" s="30">
        <f>'2_MechAdd_Script'!A26</f>
        <v/>
      </c>
      <c r="B26" t="inlineStr">
        <is>
          <t>C2Snag_Diameter</t>
        </is>
      </c>
      <c r="C26" s="4" t="n"/>
      <c r="D26" s="8" t="n"/>
      <c r="E26" s="31" t="n"/>
      <c r="G26" s="12">
        <f>F26</f>
        <v/>
      </c>
      <c r="H26" s="15">
        <f>G26</f>
        <v/>
      </c>
      <c r="I26" s="16">
        <f>H26</f>
        <v/>
      </c>
      <c r="K26" s="12">
        <f>J26</f>
        <v/>
      </c>
      <c r="L26" s="15">
        <f>K26</f>
        <v/>
      </c>
      <c r="M26" s="16">
        <f>L26</f>
        <v/>
      </c>
      <c r="O26" s="12">
        <f>N26</f>
        <v/>
      </c>
      <c r="P26" s="15">
        <f>O26</f>
        <v/>
      </c>
      <c r="Q26" s="16">
        <f>P26</f>
        <v/>
      </c>
      <c r="R26" s="39" t="n">
        <v>3.5</v>
      </c>
      <c r="S26" s="12">
        <f>R26</f>
        <v/>
      </c>
      <c r="T26" s="15">
        <f>S26</f>
        <v/>
      </c>
      <c r="U26" s="16">
        <f>T26</f>
        <v/>
      </c>
      <c r="V26" s="39" t="n">
        <v>11</v>
      </c>
      <c r="W26" s="12">
        <f>V26</f>
        <v/>
      </c>
      <c r="X26" s="15">
        <f>W26</f>
        <v/>
      </c>
      <c r="Y26" s="16">
        <f>X26</f>
        <v/>
      </c>
      <c r="Z26" s="39" t="n">
        <v>12</v>
      </c>
      <c r="AA26" s="12">
        <f>Z26</f>
        <v/>
      </c>
      <c r="AB26" s="15">
        <f>AA26</f>
        <v/>
      </c>
      <c r="AC26" s="16">
        <f>AB26</f>
        <v/>
      </c>
    </row>
    <row r="27" customFormat="1" s="39">
      <c r="A27" s="30">
        <f>'2_MechAdd_Script'!A27</f>
        <v/>
      </c>
      <c r="B27" t="inlineStr">
        <is>
          <t>C2Snag_Height</t>
        </is>
      </c>
      <c r="C27" s="4" t="n"/>
      <c r="D27" s="8" t="n"/>
      <c r="E27" s="31" t="n"/>
      <c r="G27" s="12">
        <f>F27</f>
        <v/>
      </c>
      <c r="H27" s="15">
        <f>G27</f>
        <v/>
      </c>
      <c r="I27" s="16">
        <f>H27</f>
        <v/>
      </c>
      <c r="K27" s="12">
        <f>J27</f>
        <v/>
      </c>
      <c r="L27" s="15">
        <f>K27</f>
        <v/>
      </c>
      <c r="M27" s="16">
        <f>L27</f>
        <v/>
      </c>
      <c r="O27" s="12">
        <f>N27</f>
        <v/>
      </c>
      <c r="P27" s="15">
        <f>O27</f>
        <v/>
      </c>
      <c r="Q27" s="16">
        <f>P27</f>
        <v/>
      </c>
      <c r="R27" s="39" t="n">
        <v>20</v>
      </c>
      <c r="S27" s="12">
        <f>R27</f>
        <v/>
      </c>
      <c r="T27" s="15">
        <f>S27</f>
        <v/>
      </c>
      <c r="U27" s="16">
        <f>T27</f>
        <v/>
      </c>
      <c r="V27" s="39" t="n">
        <v>50</v>
      </c>
      <c r="W27" s="12">
        <f>V27</f>
        <v/>
      </c>
      <c r="X27" s="15">
        <f>W27</f>
        <v/>
      </c>
      <c r="Y27" s="16">
        <f>X27</f>
        <v/>
      </c>
      <c r="Z27" s="39" t="n">
        <v>70</v>
      </c>
      <c r="AA27" s="12">
        <f>Z27</f>
        <v/>
      </c>
      <c r="AB27" s="15">
        <f>AA27</f>
        <v/>
      </c>
      <c r="AC27" s="16">
        <f>AB27</f>
        <v/>
      </c>
    </row>
    <row r="28" customFormat="1" s="39">
      <c r="A28" s="30">
        <f>'2_MechAdd_Script'!A28</f>
        <v/>
      </c>
      <c r="B28" t="inlineStr">
        <is>
          <t>C2Snag_Density</t>
        </is>
      </c>
      <c r="C28" s="4" t="n"/>
      <c r="D28" s="8" t="n"/>
      <c r="E28" s="31" t="n"/>
      <c r="G28" s="12">
        <f>F28</f>
        <v/>
      </c>
      <c r="H28" s="15">
        <f>G28</f>
        <v/>
      </c>
      <c r="I28" s="16">
        <f>H28</f>
        <v/>
      </c>
      <c r="K28" s="12">
        <f>J28</f>
        <v/>
      </c>
      <c r="L28" s="15">
        <f>K28</f>
        <v/>
      </c>
      <c r="M28" s="16">
        <f>L28</f>
        <v/>
      </c>
      <c r="O28" s="12">
        <f>N28</f>
        <v/>
      </c>
      <c r="P28" s="15">
        <f>O28</f>
        <v/>
      </c>
      <c r="Q28" s="16">
        <f>P28</f>
        <v/>
      </c>
      <c r="R28" s="39" t="n">
        <v>150</v>
      </c>
      <c r="S28" s="12">
        <f>R28</f>
        <v/>
      </c>
      <c r="T28" s="15">
        <f>S28</f>
        <v/>
      </c>
      <c r="U28" s="16">
        <f>T28</f>
        <v/>
      </c>
      <c r="V28" s="39" t="n">
        <v>10</v>
      </c>
      <c r="W28" s="12">
        <f>V28</f>
        <v/>
      </c>
      <c r="X28" s="15">
        <f>W28</f>
        <v/>
      </c>
      <c r="Y28" s="16">
        <f>X28</f>
        <v/>
      </c>
      <c r="Z28" s="39" t="n">
        <v>3</v>
      </c>
      <c r="AA28" s="12">
        <f>Z28</f>
        <v/>
      </c>
      <c r="AB28" s="15">
        <f>AA28</f>
        <v/>
      </c>
      <c r="AC28" s="16">
        <f>AB28</f>
        <v/>
      </c>
    </row>
    <row r="29" customFormat="1" s="39">
      <c r="A29" s="30">
        <f>'2_MechAdd_Script'!A29</f>
        <v/>
      </c>
      <c r="B29" t="inlineStr">
        <is>
          <t>C3Snag_Diameter</t>
        </is>
      </c>
      <c r="C29" s="4" t="n"/>
      <c r="D29" s="8" t="n"/>
      <c r="E29" s="31" t="n"/>
      <c r="F29" s="39" t="n">
        <v>9</v>
      </c>
      <c r="G29" s="12">
        <f>F29</f>
        <v/>
      </c>
      <c r="H29" s="15">
        <f>G29</f>
        <v/>
      </c>
      <c r="I29" s="16">
        <f>H29</f>
        <v/>
      </c>
      <c r="K29" s="12">
        <f>J29</f>
        <v/>
      </c>
      <c r="L29" s="15">
        <f>K29</f>
        <v/>
      </c>
      <c r="M29" s="16">
        <f>L29</f>
        <v/>
      </c>
      <c r="O29" s="12">
        <f>N29</f>
        <v/>
      </c>
      <c r="P29" s="15">
        <f>O29</f>
        <v/>
      </c>
      <c r="Q29" s="16">
        <f>P29</f>
        <v/>
      </c>
      <c r="R29" s="39" t="n">
        <v>3.5</v>
      </c>
      <c r="S29" s="12">
        <f>R29</f>
        <v/>
      </c>
      <c r="T29" s="15">
        <f>S29</f>
        <v/>
      </c>
      <c r="U29" s="16">
        <f>T29</f>
        <v/>
      </c>
      <c r="V29" s="39" t="n">
        <v>11</v>
      </c>
      <c r="W29" s="12">
        <f>V29</f>
        <v/>
      </c>
      <c r="X29" s="15">
        <f>W29</f>
        <v/>
      </c>
      <c r="Y29" s="16">
        <f>X29</f>
        <v/>
      </c>
      <c r="Z29" s="39" t="n">
        <v>10</v>
      </c>
      <c r="AA29" s="12">
        <f>Z29</f>
        <v/>
      </c>
      <c r="AB29" s="15">
        <f>AA29</f>
        <v/>
      </c>
      <c r="AC29" s="16">
        <f>AB29</f>
        <v/>
      </c>
    </row>
    <row r="30" customFormat="1" s="39">
      <c r="A30" s="30">
        <f>'2_MechAdd_Script'!A30</f>
        <v/>
      </c>
      <c r="B30" t="inlineStr">
        <is>
          <t>C3Snag_Height</t>
        </is>
      </c>
      <c r="C30" s="4" t="n"/>
      <c r="D30" s="8" t="n"/>
      <c r="E30" s="31" t="n"/>
      <c r="F30" s="39" t="n">
        <v>60</v>
      </c>
      <c r="G30" s="12">
        <f>F30</f>
        <v/>
      </c>
      <c r="H30" s="15">
        <f>G30</f>
        <v/>
      </c>
      <c r="I30" s="16">
        <f>H30</f>
        <v/>
      </c>
      <c r="K30" s="12">
        <f>J30</f>
        <v/>
      </c>
      <c r="L30" s="15">
        <f>K30</f>
        <v/>
      </c>
      <c r="M30" s="16">
        <f>L30</f>
        <v/>
      </c>
      <c r="O30" s="12">
        <f>N30</f>
        <v/>
      </c>
      <c r="P30" s="15">
        <f>O30</f>
        <v/>
      </c>
      <c r="Q30" s="16">
        <f>P30</f>
        <v/>
      </c>
      <c r="R30" s="39" t="n">
        <v>15</v>
      </c>
      <c r="S30" s="12">
        <f>R30</f>
        <v/>
      </c>
      <c r="T30" s="15">
        <f>S30</f>
        <v/>
      </c>
      <c r="U30" s="16">
        <f>T30</f>
        <v/>
      </c>
      <c r="V30" s="39" t="n">
        <v>40</v>
      </c>
      <c r="W30" s="12">
        <f>V30</f>
        <v/>
      </c>
      <c r="X30" s="15">
        <f>W30</f>
        <v/>
      </c>
      <c r="Y30" s="16">
        <f>X30</f>
        <v/>
      </c>
      <c r="Z30" s="39" t="n">
        <v>60</v>
      </c>
      <c r="AA30" s="12">
        <f>Z30</f>
        <v/>
      </c>
      <c r="AB30" s="15">
        <f>AA30</f>
        <v/>
      </c>
      <c r="AC30" s="16">
        <f>AB30</f>
        <v/>
      </c>
    </row>
    <row r="31" customFormat="1" s="39">
      <c r="A31" s="30">
        <f>'2_MechAdd_Script'!A31</f>
        <v/>
      </c>
      <c r="B31" t="inlineStr">
        <is>
          <t>C3Snag_Density</t>
        </is>
      </c>
      <c r="C31" s="4" t="n"/>
      <c r="D31" s="8" t="n"/>
      <c r="E31" s="31" t="n"/>
      <c r="F31" s="39" t="n">
        <v>3</v>
      </c>
      <c r="G31" s="12">
        <f>F31</f>
        <v/>
      </c>
      <c r="H31" s="15">
        <f>G31</f>
        <v/>
      </c>
      <c r="I31" s="16">
        <f>H31</f>
        <v/>
      </c>
      <c r="K31" s="12">
        <f>J31</f>
        <v/>
      </c>
      <c r="L31" s="15">
        <f>K31</f>
        <v/>
      </c>
      <c r="M31" s="16">
        <f>L31</f>
        <v/>
      </c>
      <c r="O31" s="12">
        <f>N31</f>
        <v/>
      </c>
      <c r="P31" s="15">
        <f>O31</f>
        <v/>
      </c>
      <c r="Q31" s="16">
        <f>P31</f>
        <v/>
      </c>
      <c r="R31" s="39" t="n">
        <v>150</v>
      </c>
      <c r="S31" s="12">
        <f>R31</f>
        <v/>
      </c>
      <c r="T31" s="15">
        <f>S31</f>
        <v/>
      </c>
      <c r="U31" s="16">
        <f>T31</f>
        <v/>
      </c>
      <c r="V31" s="39" t="n">
        <v>5</v>
      </c>
      <c r="W31" s="12">
        <f>V31</f>
        <v/>
      </c>
      <c r="X31" s="15">
        <f>W31</f>
        <v/>
      </c>
      <c r="Y31" s="16">
        <f>X31</f>
        <v/>
      </c>
      <c r="Z31" s="39" t="n">
        <v>3</v>
      </c>
      <c r="AA31" s="12">
        <f>Z31</f>
        <v/>
      </c>
      <c r="AB31" s="15">
        <f>AA31</f>
        <v/>
      </c>
      <c r="AC31" s="16">
        <f>AB31</f>
        <v/>
      </c>
    </row>
    <row r="32" customFormat="1" s="39">
      <c r="A32" s="30">
        <f>'2_MechAdd_Script'!A32</f>
        <v/>
      </c>
      <c r="B32" t="inlineStr">
        <is>
          <t>Ladder_MaxHeight</t>
        </is>
      </c>
      <c r="C32" s="4" t="n"/>
      <c r="D32" s="8" t="n"/>
      <c r="E32" s="31" t="n"/>
      <c r="G32" s="12">
        <f>F32</f>
        <v/>
      </c>
      <c r="H32" s="15">
        <f>G32</f>
        <v/>
      </c>
      <c r="I32" s="16">
        <f>H32</f>
        <v/>
      </c>
      <c r="K32" s="12">
        <f>J32</f>
        <v/>
      </c>
      <c r="L32" s="15">
        <f>K32</f>
        <v/>
      </c>
      <c r="M32" s="16">
        <f>L32</f>
        <v/>
      </c>
      <c r="O32" s="12">
        <f>N32</f>
        <v/>
      </c>
      <c r="P32" s="15">
        <f>O32</f>
        <v/>
      </c>
      <c r="Q32" s="16">
        <f>P32</f>
        <v/>
      </c>
      <c r="R32" s="39" t="n">
        <v>4</v>
      </c>
      <c r="S32" s="12">
        <f>R32</f>
        <v/>
      </c>
      <c r="T32" s="15">
        <f>S32</f>
        <v/>
      </c>
      <c r="U32" s="16">
        <f>T32</f>
        <v/>
      </c>
      <c r="V32" s="39" t="n">
        <v>15</v>
      </c>
      <c r="W32" s="12">
        <f>V32</f>
        <v/>
      </c>
      <c r="X32" s="15">
        <f>W32</f>
        <v/>
      </c>
      <c r="Y32" s="16">
        <f>X32</f>
        <v/>
      </c>
      <c r="AA32" s="12">
        <f>Z32</f>
        <v/>
      </c>
      <c r="AB32" s="15">
        <f>AA32</f>
        <v/>
      </c>
      <c r="AC32" s="16">
        <f>AB32</f>
        <v/>
      </c>
    </row>
    <row r="33" customFormat="1" s="39">
      <c r="A33" s="30">
        <f>'2_MechAdd_Script'!A33</f>
        <v/>
      </c>
      <c r="B33" t="inlineStr">
        <is>
          <t>Ladder_MinHeight</t>
        </is>
      </c>
      <c r="C33" s="4" t="n"/>
      <c r="D33" s="8" t="n"/>
      <c r="E33" s="31" t="n"/>
      <c r="G33" s="12">
        <f>F33</f>
        <v/>
      </c>
      <c r="H33" s="15">
        <f>G33</f>
        <v/>
      </c>
      <c r="I33" s="16">
        <f>H33</f>
        <v/>
      </c>
      <c r="K33" s="12">
        <f>J33</f>
        <v/>
      </c>
      <c r="L33" s="15">
        <f>K33</f>
        <v/>
      </c>
      <c r="M33" s="16">
        <f>L33</f>
        <v/>
      </c>
      <c r="O33" s="12">
        <f>N33</f>
        <v/>
      </c>
      <c r="P33" s="15">
        <f>O33</f>
        <v/>
      </c>
      <c r="Q33" s="16">
        <f>P33</f>
        <v/>
      </c>
      <c r="R33" s="39" t="n">
        <v>0</v>
      </c>
      <c r="S33" s="12">
        <f>R33</f>
        <v/>
      </c>
      <c r="T33" s="15">
        <f>S33</f>
        <v/>
      </c>
      <c r="U33" s="16">
        <f>T33</f>
        <v/>
      </c>
      <c r="V33" s="39" t="n">
        <v>5</v>
      </c>
      <c r="W33" s="12">
        <f>V33</f>
        <v/>
      </c>
      <c r="X33" s="15">
        <f>W33</f>
        <v/>
      </c>
      <c r="Y33" s="16">
        <f>X33</f>
        <v/>
      </c>
      <c r="AA33" s="12">
        <f>Z33</f>
        <v/>
      </c>
      <c r="AB33" s="15">
        <f>AA33</f>
        <v/>
      </c>
      <c r="AC33" s="16">
        <f>AB33</f>
        <v/>
      </c>
    </row>
    <row r="34" customFormat="1" s="39">
      <c r="A34" s="30">
        <f>'2_MechAdd_Script'!A34</f>
        <v/>
      </c>
      <c r="B34" t="inlineStr">
        <is>
          <t>1Shrub_Height</t>
        </is>
      </c>
      <c r="C34" s="4" t="n"/>
      <c r="D34" s="8" t="n"/>
      <c r="E34" s="31" t="n"/>
      <c r="F34" s="39" t="n">
        <v>2.2</v>
      </c>
      <c r="G34" s="12">
        <f>F34</f>
        <v/>
      </c>
      <c r="H34" s="15">
        <f>G34</f>
        <v/>
      </c>
      <c r="I34" s="16">
        <f>H34</f>
        <v/>
      </c>
      <c r="J34" s="39" t="n">
        <v>5</v>
      </c>
      <c r="K34" s="12">
        <f>J34</f>
        <v/>
      </c>
      <c r="L34" s="15">
        <f>K34</f>
        <v/>
      </c>
      <c r="M34" s="16">
        <f>L34</f>
        <v/>
      </c>
      <c r="N34" s="39" t="n">
        <v>3</v>
      </c>
      <c r="O34" s="12">
        <f>N34</f>
        <v/>
      </c>
      <c r="P34" s="15">
        <f>O34</f>
        <v/>
      </c>
      <c r="Q34" s="16">
        <f>P34</f>
        <v/>
      </c>
      <c r="R34" s="39" t="n">
        <v>5</v>
      </c>
      <c r="S34" s="12">
        <f>R34</f>
        <v/>
      </c>
      <c r="T34" s="15">
        <f>S34</f>
        <v/>
      </c>
      <c r="U34" s="16">
        <f>T34</f>
        <v/>
      </c>
      <c r="V34" s="39" t="n">
        <v>6</v>
      </c>
      <c r="W34" s="12">
        <f>V34</f>
        <v/>
      </c>
      <c r="X34" s="15">
        <f>W34</f>
        <v/>
      </c>
      <c r="Y34" s="16">
        <f>X34</f>
        <v/>
      </c>
      <c r="Z34" s="39" t="n">
        <v>5</v>
      </c>
      <c r="AA34" s="12">
        <f>Z34</f>
        <v/>
      </c>
      <c r="AB34" s="15">
        <f>AA34</f>
        <v/>
      </c>
      <c r="AC34" s="16">
        <f>AB34</f>
        <v/>
      </c>
    </row>
    <row r="35" customFormat="1" s="39">
      <c r="A35" s="30">
        <f>'2_MechAdd_Script'!A35</f>
        <v/>
      </c>
      <c r="B35" t="inlineStr">
        <is>
          <t>1Shrub_Cover</t>
        </is>
      </c>
      <c r="C35" s="4" t="n">
        <v>0.5</v>
      </c>
      <c r="D35" s="8" t="n">
        <v>1.25</v>
      </c>
      <c r="E35" s="31" t="n">
        <v>1.25</v>
      </c>
      <c r="F35" s="39" t="n">
        <v>21.6</v>
      </c>
      <c r="G35" s="12">
        <f>$C35*F35</f>
        <v/>
      </c>
      <c r="H35" s="15">
        <f>MIN(100,G35*$D35)</f>
        <v/>
      </c>
      <c r="I35" s="16">
        <f>MIN(100,$E35*H35)</f>
        <v/>
      </c>
      <c r="J35" s="39" t="n">
        <v>70</v>
      </c>
      <c r="K35" s="12">
        <f>$C35*J35</f>
        <v/>
      </c>
      <c r="L35" s="15">
        <f>MIN(100,K35*$D35)</f>
        <v/>
      </c>
      <c r="M35" s="16">
        <f>MIN(100,$E35*L35)</f>
        <v/>
      </c>
      <c r="N35" s="39" t="n">
        <v>2</v>
      </c>
      <c r="O35" s="12">
        <f>$C35*N35</f>
        <v/>
      </c>
      <c r="P35" s="15">
        <f>MIN(100,O35*$D35)</f>
        <v/>
      </c>
      <c r="Q35" s="16">
        <f>MIN(100,$E35*P35)</f>
        <v/>
      </c>
      <c r="R35" s="39" t="n">
        <v>10</v>
      </c>
      <c r="S35" s="12">
        <f>$C35*R35</f>
        <v/>
      </c>
      <c r="T35" s="15">
        <f>MIN(100,S35*$D35)</f>
        <v/>
      </c>
      <c r="U35" s="16">
        <f>MIN(100,$E35*T35)</f>
        <v/>
      </c>
      <c r="V35" s="39" t="n">
        <v>30</v>
      </c>
      <c r="W35" s="12">
        <f>$C35*V35</f>
        <v/>
      </c>
      <c r="X35" s="15">
        <f>MIN(100,W35*$D35)</f>
        <v/>
      </c>
      <c r="Y35" s="16">
        <f>MIN(100,$E35*X35)</f>
        <v/>
      </c>
      <c r="Z35" s="39" t="n">
        <v>80</v>
      </c>
      <c r="AA35" s="12">
        <f>$C35*Z35</f>
        <v/>
      </c>
      <c r="AB35" s="15">
        <f>MIN(100,AA35*$D35)</f>
        <v/>
      </c>
      <c r="AC35" s="16">
        <f>MIN(100,$E35*AB35)</f>
        <v/>
      </c>
    </row>
    <row r="36" customFormat="1" s="39">
      <c r="A36" s="30">
        <f>'2_MechAdd_Script'!A36</f>
        <v/>
      </c>
      <c r="B36" t="inlineStr">
        <is>
          <t>1Shrub_Live</t>
        </is>
      </c>
      <c r="C36" s="4" t="n">
        <v>0.25</v>
      </c>
      <c r="D36" s="8">
        <f>1/0.25</f>
        <v/>
      </c>
      <c r="E36" s="31" t="n"/>
      <c r="F36" s="39" t="n">
        <v>85</v>
      </c>
      <c r="G36" s="12">
        <f>$C36*F36</f>
        <v/>
      </c>
      <c r="H36" s="15">
        <f>MIN(100,G36*$D36)</f>
        <v/>
      </c>
      <c r="I36" s="16">
        <f>H36</f>
        <v/>
      </c>
      <c r="J36" s="39" t="n">
        <v>85</v>
      </c>
      <c r="K36" s="12">
        <f>$C36*J36</f>
        <v/>
      </c>
      <c r="L36" s="15">
        <f>MIN(100,K36*$D36)</f>
        <v/>
      </c>
      <c r="M36" s="16">
        <f>L36</f>
        <v/>
      </c>
      <c r="N36" s="39" t="n">
        <v>100</v>
      </c>
      <c r="O36" s="12">
        <f>$C36*N36</f>
        <v/>
      </c>
      <c r="P36" s="15">
        <f>MIN(100,O36*$D36)</f>
        <v/>
      </c>
      <c r="Q36" s="16">
        <f>P36</f>
        <v/>
      </c>
      <c r="R36" s="39" t="n">
        <v>90</v>
      </c>
      <c r="S36" s="12">
        <f>$C36*R36</f>
        <v/>
      </c>
      <c r="T36" s="15">
        <f>MIN(100,S36*$D36)</f>
        <v/>
      </c>
      <c r="U36" s="16">
        <f>T36</f>
        <v/>
      </c>
      <c r="V36" s="39" t="n">
        <v>85</v>
      </c>
      <c r="W36" s="12">
        <f>$C36*V36</f>
        <v/>
      </c>
      <c r="X36" s="15">
        <f>MIN(100,W36*$D36)</f>
        <v/>
      </c>
      <c r="Y36" s="16">
        <f>X36</f>
        <v/>
      </c>
      <c r="Z36" s="39" t="n">
        <v>90</v>
      </c>
      <c r="AA36" s="12">
        <f>$C36*Z36</f>
        <v/>
      </c>
      <c r="AB36" s="15">
        <f>MIN(100,AA36*$D36)</f>
        <v/>
      </c>
      <c r="AC36" s="16">
        <f>AB36</f>
        <v/>
      </c>
    </row>
    <row r="37" customFormat="1" s="39">
      <c r="A37" s="30">
        <f>'2_MechAdd_Script'!A37</f>
        <v/>
      </c>
      <c r="B37" t="inlineStr">
        <is>
          <t>2Shrub_Height</t>
        </is>
      </c>
      <c r="C37" s="4" t="n"/>
      <c r="D37" s="8" t="n"/>
      <c r="E37" s="31" t="n"/>
      <c r="F37" s="39" t="n">
        <v>0.3</v>
      </c>
      <c r="G37" s="12">
        <f>F37</f>
        <v/>
      </c>
      <c r="H37" s="15">
        <f>G37</f>
        <v/>
      </c>
      <c r="I37" s="16">
        <f>H37</f>
        <v/>
      </c>
      <c r="J37" s="39" t="n">
        <v>2</v>
      </c>
      <c r="K37" s="12">
        <f>J37</f>
        <v/>
      </c>
      <c r="L37" s="15">
        <f>K37</f>
        <v/>
      </c>
      <c r="M37" s="16">
        <f>L37</f>
        <v/>
      </c>
      <c r="O37" s="12">
        <f>N37</f>
        <v/>
      </c>
      <c r="P37" s="15">
        <f>O37</f>
        <v/>
      </c>
      <c r="Q37" s="16">
        <f>P37</f>
        <v/>
      </c>
      <c r="R37" s="39" t="n">
        <v>1</v>
      </c>
      <c r="S37" s="12">
        <f>R37</f>
        <v/>
      </c>
      <c r="T37" s="15">
        <f>S37</f>
        <v/>
      </c>
      <c r="U37" s="16">
        <f>T37</f>
        <v/>
      </c>
      <c r="W37" s="12">
        <f>V37</f>
        <v/>
      </c>
      <c r="X37" s="15">
        <f>W37</f>
        <v/>
      </c>
      <c r="Y37" s="16">
        <f>X37</f>
        <v/>
      </c>
      <c r="AA37" s="12">
        <f>Z37</f>
        <v/>
      </c>
      <c r="AB37" s="15">
        <f>AA37</f>
        <v/>
      </c>
      <c r="AC37" s="16">
        <f>AB37</f>
        <v/>
      </c>
    </row>
    <row r="38" customFormat="1" s="39">
      <c r="A38" s="30">
        <f>'2_MechAdd_Script'!A38</f>
        <v/>
      </c>
      <c r="B38" t="inlineStr">
        <is>
          <t>2Shrub_Cover</t>
        </is>
      </c>
      <c r="C38" s="4" t="n">
        <v>0.5</v>
      </c>
      <c r="D38" s="8" t="n">
        <v>1.25</v>
      </c>
      <c r="E38" s="31" t="n">
        <v>1.25</v>
      </c>
      <c r="F38" s="39" t="n">
        <v>1.2</v>
      </c>
      <c r="G38" s="12">
        <f>$C38*F38</f>
        <v/>
      </c>
      <c r="H38" s="15">
        <f>MIN(100,G38*$D38)</f>
        <v/>
      </c>
      <c r="I38" s="16">
        <f>MIN(100,$E38*H38)</f>
        <v/>
      </c>
      <c r="J38" s="39" t="n">
        <v>5</v>
      </c>
      <c r="K38" s="12">
        <f>$C38*J38</f>
        <v/>
      </c>
      <c r="L38" s="15">
        <f>MIN(100,K38*$D38)</f>
        <v/>
      </c>
      <c r="M38" s="16">
        <f>MIN(100,$E38*L38)</f>
        <v/>
      </c>
      <c r="O38" s="12">
        <f>$C38*N38</f>
        <v/>
      </c>
      <c r="P38" s="15">
        <f>MIN(100,O38*$D38)</f>
        <v/>
      </c>
      <c r="Q38" s="16">
        <f>MIN(100,$E38*P38)</f>
        <v/>
      </c>
      <c r="R38" s="39"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39">
      <c r="A39" s="30">
        <f>'2_MechAdd_Script'!A39</f>
        <v/>
      </c>
      <c r="B39" t="inlineStr">
        <is>
          <t>2Shrub_Live</t>
        </is>
      </c>
      <c r="C39" s="4" t="n">
        <v>0.25</v>
      </c>
      <c r="D39" s="8">
        <f>1/0.25</f>
        <v/>
      </c>
      <c r="E39" s="31" t="n"/>
      <c r="F39" s="39" t="n">
        <v>95</v>
      </c>
      <c r="G39" s="12">
        <f>$C39*F39</f>
        <v/>
      </c>
      <c r="H39" s="15">
        <f>MIN(100,G39*$D39)</f>
        <v/>
      </c>
      <c r="I39" s="16">
        <f>H39</f>
        <v/>
      </c>
      <c r="J39" s="39" t="n">
        <v>85</v>
      </c>
      <c r="K39" s="12">
        <f>$C39*J39</f>
        <v/>
      </c>
      <c r="L39" s="15">
        <f>MIN(100,K39*$D39)</f>
        <v/>
      </c>
      <c r="M39" s="16">
        <f>L39</f>
        <v/>
      </c>
      <c r="O39" s="12">
        <f>$C39*N39</f>
        <v/>
      </c>
      <c r="P39" s="15">
        <f>MIN(100,O39*$D39)</f>
        <v/>
      </c>
      <c r="Q39" s="16">
        <f>P39</f>
        <v/>
      </c>
      <c r="R39" s="39" t="n">
        <v>90</v>
      </c>
      <c r="S39" s="12">
        <f>$C39*R39</f>
        <v/>
      </c>
      <c r="T39" s="15">
        <f>MIN(100,S39*$D39)</f>
        <v/>
      </c>
      <c r="U39" s="16">
        <f>T39</f>
        <v/>
      </c>
      <c r="W39" s="12">
        <f>$C39*V39</f>
        <v/>
      </c>
      <c r="X39" s="15">
        <f>MIN(100,W39*$D39)</f>
        <v/>
      </c>
      <c r="Y39" s="16">
        <f>X39</f>
        <v/>
      </c>
      <c r="AA39" s="12">
        <f>$C39*Z39</f>
        <v/>
      </c>
      <c r="AB39" s="15">
        <f>MIN(100,AA39*$D39)</f>
        <v/>
      </c>
      <c r="AC39" s="16">
        <f>AB39</f>
        <v/>
      </c>
    </row>
    <row r="40" customFormat="1" s="39">
      <c r="A40" s="30">
        <f>'2_MechAdd_Script'!A40</f>
        <v/>
      </c>
      <c r="B40" t="inlineStr">
        <is>
          <t>1Herb_Height</t>
        </is>
      </c>
      <c r="C40" s="4" t="n"/>
      <c r="D40" s="8" t="n"/>
      <c r="E40" s="31" t="n"/>
      <c r="F40" s="39" t="n">
        <v>0.9</v>
      </c>
      <c r="G40" s="12">
        <f>F40</f>
        <v/>
      </c>
      <c r="H40" s="15">
        <f>G40</f>
        <v/>
      </c>
      <c r="I40" s="16">
        <f>H40</f>
        <v/>
      </c>
      <c r="K40" s="12">
        <f>J40</f>
        <v/>
      </c>
      <c r="L40" s="15">
        <f>K40</f>
        <v/>
      </c>
      <c r="M40" s="16">
        <f>L40</f>
        <v/>
      </c>
      <c r="N40" s="39" t="n">
        <v>2</v>
      </c>
      <c r="O40" s="12">
        <f>N40</f>
        <v/>
      </c>
      <c r="P40" s="15">
        <f>O40</f>
        <v/>
      </c>
      <c r="Q40" s="16">
        <f>P40</f>
        <v/>
      </c>
      <c r="R40" s="39" t="n">
        <v>1</v>
      </c>
      <c r="S40" s="12">
        <f>R40</f>
        <v/>
      </c>
      <c r="T40" s="15">
        <f>S40</f>
        <v/>
      </c>
      <c r="U40" s="16">
        <f>T40</f>
        <v/>
      </c>
      <c r="V40" s="39" t="n">
        <v>2.5</v>
      </c>
      <c r="W40" s="12">
        <f>V40</f>
        <v/>
      </c>
      <c r="X40" s="15">
        <f>W40</f>
        <v/>
      </c>
      <c r="Y40" s="16">
        <f>X40</f>
        <v/>
      </c>
      <c r="Z40" s="39" t="n">
        <v>2</v>
      </c>
      <c r="AA40" s="12">
        <f>Z40</f>
        <v/>
      </c>
      <c r="AB40" s="15">
        <f>AA40</f>
        <v/>
      </c>
      <c r="AC40" s="16">
        <f>AB40</f>
        <v/>
      </c>
    </row>
    <row r="41" customFormat="1" s="39">
      <c r="A41" s="30">
        <f>'2_MechAdd_Script'!A41</f>
        <v/>
      </c>
      <c r="B41" t="inlineStr">
        <is>
          <t>1Herb_Load</t>
        </is>
      </c>
      <c r="C41" s="4" t="n">
        <v>0.5</v>
      </c>
      <c r="D41" s="8" t="n">
        <v>1.5</v>
      </c>
      <c r="E41" s="31" t="n">
        <v>1.5</v>
      </c>
      <c r="F41" s="39" t="n">
        <v>0.1</v>
      </c>
      <c r="G41" s="12">
        <f>$C41*F41</f>
        <v/>
      </c>
      <c r="H41" s="15">
        <f>G41*$D41</f>
        <v/>
      </c>
      <c r="I41" s="16">
        <f>$E41*H41</f>
        <v/>
      </c>
      <c r="K41" s="12">
        <f>$C41*J41</f>
        <v/>
      </c>
      <c r="L41" s="15">
        <f>K41*$D41</f>
        <v/>
      </c>
      <c r="M41" s="16">
        <f>$E41*L41</f>
        <v/>
      </c>
      <c r="N41" s="39" t="n">
        <v>1</v>
      </c>
      <c r="O41" s="12">
        <f>$C41*N41</f>
        <v/>
      </c>
      <c r="P41" s="15">
        <f>O41*$D41</f>
        <v/>
      </c>
      <c r="Q41" s="16">
        <f>$E41*P41</f>
        <v/>
      </c>
      <c r="R41" s="39" t="n">
        <v>0.01</v>
      </c>
      <c r="S41" s="12">
        <f>$C41*R41</f>
        <v/>
      </c>
      <c r="T41" s="15">
        <f>S41*$D41</f>
        <v/>
      </c>
      <c r="U41" s="16">
        <f>$E41*T41</f>
        <v/>
      </c>
      <c r="V41" s="39" t="n">
        <v>0.4</v>
      </c>
      <c r="W41" s="12">
        <f>$C41*V41</f>
        <v/>
      </c>
      <c r="X41" s="15">
        <f>W41*$D41</f>
        <v/>
      </c>
      <c r="Y41" s="16">
        <f>$E41*X41</f>
        <v/>
      </c>
      <c r="Z41" s="39" t="n">
        <v>0.1</v>
      </c>
      <c r="AA41" s="12">
        <f>$C41*Z41</f>
        <v/>
      </c>
      <c r="AB41" s="15">
        <f>AA41*$D41</f>
        <v/>
      </c>
      <c r="AC41" s="16">
        <f>$E41*AB41</f>
        <v/>
      </c>
    </row>
    <row r="42" customFormat="1" s="39">
      <c r="A42" s="30">
        <f>'2_MechAdd_Script'!A42</f>
        <v/>
      </c>
      <c r="B42" t="inlineStr">
        <is>
          <t>1Herb_Cover</t>
        </is>
      </c>
      <c r="C42" s="4" t="n">
        <v>0.5</v>
      </c>
      <c r="D42" s="8" t="n">
        <v>1.5</v>
      </c>
      <c r="E42" s="31" t="n">
        <v>1.5</v>
      </c>
      <c r="F42" s="39" t="n">
        <v>0.7</v>
      </c>
      <c r="G42" s="12">
        <f>$C42*F42</f>
        <v/>
      </c>
      <c r="H42" s="15">
        <f>MIN(100,G42*$D42)</f>
        <v/>
      </c>
      <c r="I42" s="16">
        <f>MIN(100,$E42*H42)</f>
        <v/>
      </c>
      <c r="K42" s="12">
        <f>$C42*J42</f>
        <v/>
      </c>
      <c r="L42" s="15">
        <f>MIN(100,K42*$D42)</f>
        <v/>
      </c>
      <c r="M42" s="16">
        <f>MIN(100,$E42*L42)</f>
        <v/>
      </c>
      <c r="N42" s="39" t="n">
        <v>90</v>
      </c>
      <c r="O42" s="12">
        <f>$C42*N42</f>
        <v/>
      </c>
      <c r="P42" s="15">
        <f>MIN(100,O42*$D42)</f>
        <v/>
      </c>
      <c r="Q42" s="16">
        <f>MIN(100,$E42*P42)</f>
        <v/>
      </c>
      <c r="R42" s="39" t="n">
        <v>2</v>
      </c>
      <c r="S42" s="12">
        <f>$C42*R42</f>
        <v/>
      </c>
      <c r="T42" s="15">
        <f>MIN(100,S42*$D42)</f>
        <v/>
      </c>
      <c r="U42" s="16">
        <f>MIN(100,$E42*T42)</f>
        <v/>
      </c>
      <c r="V42" s="39" t="n">
        <v>30</v>
      </c>
      <c r="W42" s="12">
        <f>$C42*V42</f>
        <v/>
      </c>
      <c r="X42" s="15">
        <f>MIN(100,W42*$D42)</f>
        <v/>
      </c>
      <c r="Y42" s="16">
        <f>MIN(100,$E42*X42)</f>
        <v/>
      </c>
      <c r="Z42" s="39" t="n">
        <v>20</v>
      </c>
      <c r="AA42" s="12">
        <f>$C42*Z42</f>
        <v/>
      </c>
      <c r="AB42" s="15">
        <f>MIN(100,AA42*$D42)</f>
        <v/>
      </c>
      <c r="AC42" s="16">
        <f>MIN(100,$E42*AB42)</f>
        <v/>
      </c>
    </row>
    <row r="43" customFormat="1" s="39">
      <c r="A43" s="30">
        <f>'2_MechAdd_Script'!A43</f>
        <v/>
      </c>
      <c r="B43" t="inlineStr">
        <is>
          <t>1Herb_Live</t>
        </is>
      </c>
      <c r="C43" s="4" t="n">
        <v>0.5</v>
      </c>
      <c r="D43" s="8">
        <f>1/0.5</f>
        <v/>
      </c>
      <c r="E43" s="31" t="n"/>
      <c r="F43" s="39" t="n">
        <v>95</v>
      </c>
      <c r="G43" s="12">
        <f>$C43*F43</f>
        <v/>
      </c>
      <c r="H43" s="15">
        <f>MIN(100,G43*$D43)</f>
        <v/>
      </c>
      <c r="I43" s="16">
        <f>H43</f>
        <v/>
      </c>
      <c r="K43" s="12">
        <f>$C43*J43</f>
        <v/>
      </c>
      <c r="L43" s="15">
        <f>MIN(100,K43*$D43)</f>
        <v/>
      </c>
      <c r="M43" s="16">
        <f>L43</f>
        <v/>
      </c>
      <c r="N43" s="39" t="n">
        <v>85</v>
      </c>
      <c r="O43" s="12">
        <f>$C43*N43</f>
        <v/>
      </c>
      <c r="P43" s="15">
        <f>MIN(100,O43*$D43)</f>
        <v/>
      </c>
      <c r="Q43" s="16">
        <f>P43</f>
        <v/>
      </c>
      <c r="R43" s="39" t="n">
        <v>90</v>
      </c>
      <c r="S43" s="12">
        <f>$C43*R43</f>
        <v/>
      </c>
      <c r="T43" s="15">
        <f>MIN(100,S43*$D43)</f>
        <v/>
      </c>
      <c r="U43" s="16">
        <f>T43</f>
        <v/>
      </c>
      <c r="V43" s="39" t="n">
        <v>80</v>
      </c>
      <c r="W43" s="12">
        <f>$C43*V43</f>
        <v/>
      </c>
      <c r="X43" s="15">
        <f>MIN(100,W43*$D43)</f>
        <v/>
      </c>
      <c r="Y43" s="16">
        <f>X43</f>
        <v/>
      </c>
      <c r="Z43" s="39" t="n">
        <v>60</v>
      </c>
      <c r="AA43" s="12">
        <f>$C43*Z43</f>
        <v/>
      </c>
      <c r="AB43" s="15">
        <f>MIN(100,AA43*$D43)</f>
        <v/>
      </c>
      <c r="AC43" s="16">
        <f>AB43</f>
        <v/>
      </c>
    </row>
    <row r="44" customFormat="1" s="39">
      <c r="A44" s="30">
        <f>'2_MechAdd_Script'!A44</f>
        <v/>
      </c>
      <c r="B44" t="inlineStr">
        <is>
          <t>2Herb_Height</t>
        </is>
      </c>
      <c r="C44" s="4" t="n"/>
      <c r="D44" s="8" t="n"/>
      <c r="E44" s="31" t="n"/>
      <c r="F44" s="39" t="n">
        <v>0.9</v>
      </c>
      <c r="G44" s="12">
        <f>F44</f>
        <v/>
      </c>
      <c r="H44" s="15">
        <f>G44</f>
        <v/>
      </c>
      <c r="I44" s="16">
        <f>H44</f>
        <v/>
      </c>
      <c r="K44" s="12">
        <f>J44</f>
        <v/>
      </c>
      <c r="L44" s="15">
        <f>K44</f>
        <v/>
      </c>
      <c r="M44" s="16">
        <f>L44</f>
        <v/>
      </c>
      <c r="N44" s="39" t="n">
        <v>1</v>
      </c>
      <c r="O44" s="12">
        <f>N44</f>
        <v/>
      </c>
      <c r="P44" s="15">
        <f>O44</f>
        <v/>
      </c>
      <c r="Q44" s="16">
        <f>P44</f>
        <v/>
      </c>
      <c r="R44" s="39" t="n">
        <v>0.5</v>
      </c>
      <c r="S44" s="12">
        <f>R44</f>
        <v/>
      </c>
      <c r="T44" s="15">
        <f>S44</f>
        <v/>
      </c>
      <c r="U44" s="16">
        <f>T44</f>
        <v/>
      </c>
      <c r="W44" s="12">
        <f>V44</f>
        <v/>
      </c>
      <c r="X44" s="15">
        <f>W44</f>
        <v/>
      </c>
      <c r="Y44" s="16">
        <f>X44</f>
        <v/>
      </c>
      <c r="Z44" s="39" t="n">
        <v>1</v>
      </c>
      <c r="AA44" s="12">
        <f>Z44</f>
        <v/>
      </c>
      <c r="AB44" s="15">
        <f>AA44</f>
        <v/>
      </c>
      <c r="AC44" s="16">
        <f>AB44</f>
        <v/>
      </c>
    </row>
    <row r="45" customFormat="1" s="39">
      <c r="A45" s="30">
        <f>'2_MechAdd_Script'!A45</f>
        <v/>
      </c>
      <c r="B45" t="inlineStr">
        <is>
          <t>2Herb_Load</t>
        </is>
      </c>
      <c r="C45" s="4" t="n">
        <v>0.5</v>
      </c>
      <c r="D45" s="8" t="n">
        <v>1.5</v>
      </c>
      <c r="E45" s="31" t="n">
        <v>1.5</v>
      </c>
      <c r="F45" s="39" t="n">
        <v>0.1</v>
      </c>
      <c r="G45" s="12">
        <f>$C45*F45</f>
        <v/>
      </c>
      <c r="H45" s="15">
        <f>G45*$D45</f>
        <v/>
      </c>
      <c r="I45" s="16">
        <f>$E45*H45</f>
        <v/>
      </c>
      <c r="K45" s="12">
        <f>$C45*J45</f>
        <v/>
      </c>
      <c r="L45" s="15">
        <f>K45*$D45</f>
        <v/>
      </c>
      <c r="M45" s="16">
        <f>$E45*L45</f>
        <v/>
      </c>
      <c r="N45" s="39" t="n">
        <v>0.01</v>
      </c>
      <c r="O45" s="12">
        <f>$C45*N45</f>
        <v/>
      </c>
      <c r="P45" s="15">
        <f>O45*$D45</f>
        <v/>
      </c>
      <c r="Q45" s="16">
        <f>$E45*P45</f>
        <v/>
      </c>
      <c r="R45" s="39" t="n">
        <v>0.02</v>
      </c>
      <c r="S45" s="12">
        <f>$C45*R45</f>
        <v/>
      </c>
      <c r="T45" s="15">
        <f>S45*$D45</f>
        <v/>
      </c>
      <c r="U45" s="16">
        <f>$E45*T45</f>
        <v/>
      </c>
      <c r="W45" s="12">
        <f>$C45*V45</f>
        <v/>
      </c>
      <c r="X45" s="15">
        <f>W45*$D45</f>
        <v/>
      </c>
      <c r="Y45" s="16">
        <f>$E45*X45</f>
        <v/>
      </c>
      <c r="Z45" s="39" t="n">
        <v>0.1</v>
      </c>
      <c r="AA45" s="12">
        <f>$C45*Z45</f>
        <v/>
      </c>
      <c r="AB45" s="15">
        <f>AA45*$D45</f>
        <v/>
      </c>
      <c r="AC45" s="16">
        <f>$E45*AB45</f>
        <v/>
      </c>
    </row>
    <row r="46" customFormat="1" s="39">
      <c r="A46" s="30">
        <f>'2_MechAdd_Script'!A46</f>
        <v/>
      </c>
      <c r="B46" t="inlineStr">
        <is>
          <t>2Herb_Cover</t>
        </is>
      </c>
      <c r="C46" s="4" t="n">
        <v>0.5</v>
      </c>
      <c r="D46" s="8" t="n">
        <v>1.5</v>
      </c>
      <c r="E46" s="31" t="n">
        <v>1.5</v>
      </c>
      <c r="F46" s="39" t="n">
        <v>0.2</v>
      </c>
      <c r="G46" s="12">
        <f>$C46*F46</f>
        <v/>
      </c>
      <c r="H46" s="15">
        <f>MIN(100,G46*$D46)</f>
        <v/>
      </c>
      <c r="I46" s="16">
        <f>MIN(100,$E46*H46)</f>
        <v/>
      </c>
      <c r="K46" s="12">
        <f>$C46*J46</f>
        <v/>
      </c>
      <c r="L46" s="15">
        <f>MIN(100,K46*$D46)</f>
        <v/>
      </c>
      <c r="M46" s="16">
        <f>MIN(100,$E46*L46)</f>
        <v/>
      </c>
      <c r="N46" s="39" t="n">
        <v>8</v>
      </c>
      <c r="O46" s="12">
        <f>$C46*N46</f>
        <v/>
      </c>
      <c r="P46" s="15">
        <f>MIN(100,O46*$D46)</f>
        <v/>
      </c>
      <c r="Q46" s="16">
        <f>MIN(100,$E46*P46)</f>
        <v/>
      </c>
      <c r="R46" s="39" t="n">
        <v>5</v>
      </c>
      <c r="S46" s="12">
        <f>$C46*R46</f>
        <v/>
      </c>
      <c r="T46" s="15">
        <f>MIN(100,S46*$D46)</f>
        <v/>
      </c>
      <c r="U46" s="16">
        <f>MIN(100,$E46*T46)</f>
        <v/>
      </c>
      <c r="W46" s="12">
        <f>$C46*V46</f>
        <v/>
      </c>
      <c r="X46" s="15">
        <f>MIN(100,W46*$D46)</f>
        <v/>
      </c>
      <c r="Y46" s="16">
        <f>MIN(100,$E46*X46)</f>
        <v/>
      </c>
      <c r="Z46" s="39" t="n">
        <v>20</v>
      </c>
      <c r="AA46" s="12">
        <f>$C46*Z46</f>
        <v/>
      </c>
      <c r="AB46" s="15">
        <f>MIN(100,AA46*$D46)</f>
        <v/>
      </c>
      <c r="AC46" s="16">
        <f>MIN(100,$E46*AB46)</f>
        <v/>
      </c>
    </row>
    <row r="47" customFormat="1" s="39">
      <c r="A47" s="30">
        <f>'2_MechAdd_Script'!A47</f>
        <v/>
      </c>
      <c r="B47" t="inlineStr">
        <is>
          <t>2Herb_Live</t>
        </is>
      </c>
      <c r="C47" s="4" t="n">
        <v>0.5</v>
      </c>
      <c r="D47" s="8">
        <f>1/0.5</f>
        <v/>
      </c>
      <c r="E47" s="31" t="n"/>
      <c r="F47" s="39" t="n">
        <v>85</v>
      </c>
      <c r="G47" s="12">
        <f>$C47*F47</f>
        <v/>
      </c>
      <c r="H47" s="15">
        <f>MIN(100,G47*$D47)</f>
        <v/>
      </c>
      <c r="I47" s="16">
        <f>H47</f>
        <v/>
      </c>
      <c r="K47" s="12">
        <f>$C47*J47</f>
        <v/>
      </c>
      <c r="L47" s="15">
        <f>MIN(100,K47*$D47)</f>
        <v/>
      </c>
      <c r="M47" s="16">
        <f>L47</f>
        <v/>
      </c>
      <c r="N47" s="39" t="n">
        <v>70</v>
      </c>
      <c r="O47" s="12">
        <f>$C47*N47</f>
        <v/>
      </c>
      <c r="P47" s="15">
        <f>MIN(100,O47*$D47)</f>
        <v/>
      </c>
      <c r="Q47" s="16">
        <f>P47</f>
        <v/>
      </c>
      <c r="R47" s="39" t="n">
        <v>90</v>
      </c>
      <c r="S47" s="12">
        <f>$C47*R47</f>
        <v/>
      </c>
      <c r="T47" s="15">
        <f>MIN(100,S47*$D47)</f>
        <v/>
      </c>
      <c r="U47" s="16">
        <f>T47</f>
        <v/>
      </c>
      <c r="W47" s="12">
        <f>$C47*V47</f>
        <v/>
      </c>
      <c r="X47" s="15">
        <f>MIN(100,W47*$D47)</f>
        <v/>
      </c>
      <c r="Y47" s="16">
        <f>X47</f>
        <v/>
      </c>
      <c r="Z47" s="39" t="n">
        <v>60</v>
      </c>
      <c r="AA47" s="12">
        <f>$C47*Z47</f>
        <v/>
      </c>
      <c r="AB47" s="15">
        <f>MIN(100,AA47*$D47)</f>
        <v/>
      </c>
      <c r="AC47" s="16">
        <f>AB47</f>
        <v/>
      </c>
    </row>
    <row r="48" customFormat="1" s="39">
      <c r="A48" s="30">
        <f>'2_MechAdd_Script'!A48</f>
        <v/>
      </c>
      <c r="B48" t="inlineStr">
        <is>
          <t>FineWood_Depth</t>
        </is>
      </c>
      <c r="C48" s="4" t="n">
        <v>1.5</v>
      </c>
      <c r="D48" s="8" t="n">
        <v>0.75</v>
      </c>
      <c r="E48" s="31" t="n">
        <v>0.5</v>
      </c>
      <c r="F48" s="39" t="n">
        <v>4</v>
      </c>
      <c r="G48" s="12">
        <f>$C48*F48</f>
        <v/>
      </c>
      <c r="H48" s="15">
        <f>G48*$D48</f>
        <v/>
      </c>
      <c r="I48" s="16">
        <f>$E48*H48</f>
        <v/>
      </c>
      <c r="J48" s="39" t="n">
        <v>1</v>
      </c>
      <c r="K48" s="12">
        <f>$C48*J48</f>
        <v/>
      </c>
      <c r="L48" s="15">
        <f>K48*$D48</f>
        <v/>
      </c>
      <c r="M48" s="16">
        <f>$E48*L48</f>
        <v/>
      </c>
      <c r="O48" s="12">
        <f>$C48*N48</f>
        <v/>
      </c>
      <c r="P48" s="15">
        <f>O48*$D48</f>
        <v/>
      </c>
      <c r="Q48" s="16">
        <f>$E48*P48</f>
        <v/>
      </c>
      <c r="R48" s="39" t="n">
        <v>0.5</v>
      </c>
      <c r="S48" s="12">
        <f>$C48*R48</f>
        <v/>
      </c>
      <c r="T48" s="15">
        <f>S48*$D48</f>
        <v/>
      </c>
      <c r="U48" s="16">
        <f>$E48*T48</f>
        <v/>
      </c>
      <c r="V48" s="39" t="n">
        <v>1</v>
      </c>
      <c r="W48" s="12">
        <f>$C48*V48</f>
        <v/>
      </c>
      <c r="X48" s="15">
        <f>W48*$D48</f>
        <v/>
      </c>
      <c r="Y48" s="16">
        <f>$E48*X48</f>
        <v/>
      </c>
      <c r="Z48" s="39" t="n">
        <v>0.5</v>
      </c>
      <c r="AA48" s="12">
        <f>$C48*Z48</f>
        <v/>
      </c>
      <c r="AB48" s="15">
        <f>AA48*$D48</f>
        <v/>
      </c>
      <c r="AC48" s="16">
        <f>$E48*AB48</f>
        <v/>
      </c>
    </row>
    <row r="49" customFormat="1" s="39">
      <c r="A49" s="30">
        <f>'2_MechAdd_Script'!A49</f>
        <v/>
      </c>
      <c r="B49" t="inlineStr">
        <is>
          <t>FineWood_Cover</t>
        </is>
      </c>
      <c r="C49" s="4" t="n">
        <v>1.5</v>
      </c>
      <c r="D49" s="8" t="n">
        <v>0.75</v>
      </c>
      <c r="E49" s="31" t="n">
        <v>0.5</v>
      </c>
      <c r="F49" s="39" t="n">
        <v>70</v>
      </c>
      <c r="G49" s="12">
        <f>MIN(100,$C49*F49)</f>
        <v/>
      </c>
      <c r="H49" s="15">
        <f>MIN(100,G49*$D49)</f>
        <v/>
      </c>
      <c r="I49" s="16">
        <f>$E49*H49</f>
        <v/>
      </c>
      <c r="J49" s="39" t="n">
        <v>50</v>
      </c>
      <c r="K49" s="12">
        <f>MIN(100,$C49*J49)</f>
        <v/>
      </c>
      <c r="L49" s="15">
        <f>MIN(100,K49*$D49)</f>
        <v/>
      </c>
      <c r="M49" s="16">
        <f>$E49*L49</f>
        <v/>
      </c>
      <c r="O49" s="12">
        <f>MIN(100,$C49*N49)</f>
        <v/>
      </c>
      <c r="P49" s="15">
        <f>MIN(100,O49*$D49)</f>
        <v/>
      </c>
      <c r="Q49" s="16">
        <f>$E49*P49</f>
        <v/>
      </c>
      <c r="R49" s="39" t="n">
        <v>30</v>
      </c>
      <c r="S49" s="12">
        <f>MIN(100,$C49*R49)</f>
        <v/>
      </c>
      <c r="T49" s="15">
        <f>MIN(100,S49*$D49)</f>
        <v/>
      </c>
      <c r="U49" s="16">
        <f>$E49*T49</f>
        <v/>
      </c>
      <c r="V49" s="39" t="n">
        <v>40</v>
      </c>
      <c r="W49" s="12">
        <f>MIN(100,$C49*V49)</f>
        <v/>
      </c>
      <c r="X49" s="15">
        <f>MIN(100,W49*$D49)</f>
        <v/>
      </c>
      <c r="Y49" s="16">
        <f>$E49*X49</f>
        <v/>
      </c>
      <c r="Z49" s="39" t="n">
        <v>15</v>
      </c>
      <c r="AA49" s="12">
        <f>MIN(100,$C49*Z49)</f>
        <v/>
      </c>
      <c r="AB49" s="15">
        <f>MIN(100,AA49*$D49)</f>
        <v/>
      </c>
      <c r="AC49" s="16">
        <f>$E49*AB49</f>
        <v/>
      </c>
    </row>
    <row r="50" customFormat="1" s="39">
      <c r="A50" s="30">
        <f>'2_MechAdd_Script'!A50</f>
        <v/>
      </c>
      <c r="B50" t="inlineStr">
        <is>
          <t>SWood_100hr</t>
        </is>
      </c>
      <c r="C50" s="4" t="n">
        <v>1.5</v>
      </c>
      <c r="D50" s="8" t="n">
        <v>0.75</v>
      </c>
      <c r="E50" s="31" t="n">
        <v>0.5</v>
      </c>
      <c r="F50" s="39" t="n">
        <v>2</v>
      </c>
      <c r="G50" s="12">
        <f>MAX(1,$C50*F50)</f>
        <v/>
      </c>
      <c r="H50" s="15">
        <f>G50*$D50</f>
        <v/>
      </c>
      <c r="I50" s="16">
        <f>$E50*H50</f>
        <v/>
      </c>
      <c r="J50" s="39" t="n">
        <v>1</v>
      </c>
      <c r="K50" s="12">
        <f>MAX(1,$C50*J50)</f>
        <v/>
      </c>
      <c r="L50" s="15">
        <f>K50*$D50</f>
        <v/>
      </c>
      <c r="M50" s="16">
        <f>$E50*L50</f>
        <v/>
      </c>
      <c r="O50" s="12">
        <f>MAX(1,$C50*N50)</f>
        <v/>
      </c>
      <c r="P50" s="15">
        <f>O50*$D50</f>
        <v/>
      </c>
      <c r="Q50" s="16">
        <f>$E50*P50</f>
        <v/>
      </c>
      <c r="R50" s="39" t="n">
        <v>0.5</v>
      </c>
      <c r="S50" s="12">
        <f>MAX(1,$C50*R50)</f>
        <v/>
      </c>
      <c r="T50" s="15">
        <f>S50*$D50</f>
        <v/>
      </c>
      <c r="U50" s="16">
        <f>$E50*T50</f>
        <v/>
      </c>
      <c r="V50" s="39" t="n">
        <v>1</v>
      </c>
      <c r="W50" s="12">
        <f>MAX(1,$C50*V50)</f>
        <v/>
      </c>
      <c r="X50" s="15">
        <f>W50*$D50</f>
        <v/>
      </c>
      <c r="Y50" s="16">
        <f>$E50*X50</f>
        <v/>
      </c>
      <c r="Z50" s="39" t="n">
        <v>0.3</v>
      </c>
      <c r="AA50" s="12">
        <f>MAX(1,$C50*Z50)</f>
        <v/>
      </c>
      <c r="AB50" s="15">
        <f>AA50*$D50</f>
        <v/>
      </c>
      <c r="AC50" s="16">
        <f>$E50*AB50</f>
        <v/>
      </c>
    </row>
    <row r="51" customFormat="1" s="39">
      <c r="A51" s="30">
        <f>'2_MechAdd_Script'!A51</f>
        <v/>
      </c>
      <c r="B51" t="inlineStr">
        <is>
          <t>SWood_10hr</t>
        </is>
      </c>
      <c r="C51" s="4" t="n">
        <v>1.5</v>
      </c>
      <c r="D51" s="8" t="n">
        <v>0.75</v>
      </c>
      <c r="E51" s="31" t="n">
        <v>0.5</v>
      </c>
      <c r="F51" s="39" t="n">
        <v>1.5</v>
      </c>
      <c r="G51" s="12">
        <f>MAX(2,$C51*F51)</f>
        <v/>
      </c>
      <c r="H51" s="15">
        <f>G51*$D51</f>
        <v/>
      </c>
      <c r="I51" s="16">
        <f>$E51*H51</f>
        <v/>
      </c>
      <c r="J51" s="39" t="n">
        <v>1</v>
      </c>
      <c r="K51" s="12">
        <f>MAX(2,$C51*J51)</f>
        <v/>
      </c>
      <c r="L51" s="15">
        <f>K51*$D51</f>
        <v/>
      </c>
      <c r="M51" s="16">
        <f>$E51*L51</f>
        <v/>
      </c>
      <c r="O51" s="12">
        <f>MAX(2,$C51*N51)</f>
        <v/>
      </c>
      <c r="P51" s="15">
        <f>O51*$D51</f>
        <v/>
      </c>
      <c r="Q51" s="16">
        <f>$E51*P51</f>
        <v/>
      </c>
      <c r="R51" s="39" t="n">
        <v>0.2</v>
      </c>
      <c r="S51" s="12">
        <f>MAX(2,$C51*R51)</f>
        <v/>
      </c>
      <c r="T51" s="15">
        <f>S51*$D51</f>
        <v/>
      </c>
      <c r="U51" s="16">
        <f>$E51*T51</f>
        <v/>
      </c>
      <c r="V51" s="39" t="n">
        <v>0.5</v>
      </c>
      <c r="W51" s="12">
        <f>MAX(2,$C51*V51)</f>
        <v/>
      </c>
      <c r="X51" s="15">
        <f>W51*$D51</f>
        <v/>
      </c>
      <c r="Y51" s="16">
        <f>$E51*X51</f>
        <v/>
      </c>
      <c r="Z51" s="39" t="n">
        <v>0.4</v>
      </c>
      <c r="AA51" s="12">
        <f>MAX(2,$C51*Z51)</f>
        <v/>
      </c>
      <c r="AB51" s="15">
        <f>AA51*$D51</f>
        <v/>
      </c>
      <c r="AC51" s="16">
        <f>$E51*AB51</f>
        <v/>
      </c>
    </row>
    <row r="52" customFormat="1" s="39">
      <c r="A52" s="30">
        <f>'2_MechAdd_Script'!A52</f>
        <v/>
      </c>
      <c r="B52" t="inlineStr">
        <is>
          <t>SWood_1hr</t>
        </is>
      </c>
      <c r="C52" s="4" t="n">
        <v>1.5</v>
      </c>
      <c r="D52" s="8" t="n">
        <v>0.75</v>
      </c>
      <c r="E52" s="31" t="n">
        <v>0.5</v>
      </c>
      <c r="F52" s="39" t="n">
        <v>1</v>
      </c>
      <c r="G52" s="12">
        <f>MAX(1,$C52*F52)</f>
        <v/>
      </c>
      <c r="H52" s="15">
        <f>G52*$D52</f>
        <v/>
      </c>
      <c r="I52" s="16">
        <f>$E52*H52</f>
        <v/>
      </c>
      <c r="J52" s="39" t="n">
        <v>0.5</v>
      </c>
      <c r="K52" s="12">
        <f>MAX(1,$C52*J52)</f>
        <v/>
      </c>
      <c r="L52" s="15">
        <f>K52*$D52</f>
        <v/>
      </c>
      <c r="M52" s="16">
        <f>$E52*L52</f>
        <v/>
      </c>
      <c r="O52" s="12">
        <f>MAX(1,$C52*N52)</f>
        <v/>
      </c>
      <c r="P52" s="15">
        <f>O52*$D52</f>
        <v/>
      </c>
      <c r="Q52" s="16">
        <f>$E52*P52</f>
        <v/>
      </c>
      <c r="R52" s="39" t="n">
        <v>0.1</v>
      </c>
      <c r="S52" s="12">
        <f>MAX(1,$C52*R52)</f>
        <v/>
      </c>
      <c r="T52" s="15">
        <f>S52*$D52</f>
        <v/>
      </c>
      <c r="U52" s="16">
        <f>$E52*T52</f>
        <v/>
      </c>
      <c r="V52" s="39" t="n">
        <v>0.3</v>
      </c>
      <c r="W52" s="12">
        <f>MAX(1,$C52*V52)</f>
        <v/>
      </c>
      <c r="X52" s="15">
        <f>W52*$D52</f>
        <v/>
      </c>
      <c r="Y52" s="16">
        <f>$E52*X52</f>
        <v/>
      </c>
      <c r="Z52" s="39" t="n">
        <v>0.02</v>
      </c>
      <c r="AA52" s="12">
        <f>MAX(1,$C52*Z52)</f>
        <v/>
      </c>
      <c r="AB52" s="15">
        <f>AA52*$D52</f>
        <v/>
      </c>
      <c r="AC52" s="16">
        <f>$E52*AB52</f>
        <v/>
      </c>
    </row>
    <row r="53" customFormat="1" s="39">
      <c r="A53" s="30">
        <f>'2_MechAdd_Script'!A53</f>
        <v/>
      </c>
      <c r="B53" t="inlineStr">
        <is>
          <t>SWood_1000hr</t>
        </is>
      </c>
      <c r="C53" s="4" t="n"/>
      <c r="D53" s="8" t="n">
        <v>0.75</v>
      </c>
      <c r="E53" s="31" t="n"/>
      <c r="F53" s="39" t="n">
        <v>6</v>
      </c>
      <c r="G53" s="12">
        <f>F53</f>
        <v/>
      </c>
      <c r="H53" s="15">
        <f>G53*$D53</f>
        <v/>
      </c>
      <c r="I53" s="16">
        <f>H53</f>
        <v/>
      </c>
      <c r="J53" s="39" t="n">
        <v>0</v>
      </c>
      <c r="K53" s="12">
        <f>J53</f>
        <v/>
      </c>
      <c r="L53" s="15">
        <f>K53*$D53</f>
        <v/>
      </c>
      <c r="M53" s="16">
        <f>L53</f>
        <v/>
      </c>
      <c r="O53" s="12">
        <f>N53</f>
        <v/>
      </c>
      <c r="P53" s="15">
        <f>O53*$D53</f>
        <v/>
      </c>
      <c r="Q53" s="16">
        <f>P53</f>
        <v/>
      </c>
      <c r="R53" s="39" t="n">
        <v>1</v>
      </c>
      <c r="S53" s="12">
        <f>R53</f>
        <v/>
      </c>
      <c r="T53" s="15">
        <f>S53*$D53</f>
        <v/>
      </c>
      <c r="U53" s="16">
        <f>T53</f>
        <v/>
      </c>
      <c r="V53" s="39" t="n">
        <v>1.2</v>
      </c>
      <c r="W53" s="12">
        <f>V53</f>
        <v/>
      </c>
      <c r="X53" s="15">
        <f>W53*$D53</f>
        <v/>
      </c>
      <c r="Y53" s="16">
        <f>X53</f>
        <v/>
      </c>
      <c r="Z53" s="39" t="n">
        <v>0.5</v>
      </c>
      <c r="AA53" s="12">
        <f>Z53</f>
        <v/>
      </c>
      <c r="AB53" s="15">
        <f>AA53*$D53</f>
        <v/>
      </c>
      <c r="AC53" s="16">
        <f>AB53</f>
        <v/>
      </c>
    </row>
    <row r="54" customFormat="1" s="39">
      <c r="A54" s="30">
        <f>'2_MechAdd_Script'!A54</f>
        <v/>
      </c>
      <c r="B54" t="inlineStr">
        <is>
          <t>SWood_10_000hr</t>
        </is>
      </c>
      <c r="C54" s="4" t="n"/>
      <c r="D54" s="8" t="n">
        <v>0.75</v>
      </c>
      <c r="E54" s="31" t="n"/>
      <c r="F54" s="39" t="n">
        <v>12</v>
      </c>
      <c r="G54" s="12">
        <f>F54</f>
        <v/>
      </c>
      <c r="H54" s="15">
        <f>G54*$D54</f>
        <v/>
      </c>
      <c r="I54" s="16">
        <f>H54</f>
        <v/>
      </c>
      <c r="J54" s="39" t="n">
        <v>0</v>
      </c>
      <c r="K54" s="12">
        <f>J54</f>
        <v/>
      </c>
      <c r="L54" s="15">
        <f>K54*$D54</f>
        <v/>
      </c>
      <c r="M54" s="16">
        <f>L54</f>
        <v/>
      </c>
      <c r="O54" s="12">
        <f>N54</f>
        <v/>
      </c>
      <c r="P54" s="15">
        <f>O54*$D54</f>
        <v/>
      </c>
      <c r="Q54" s="16">
        <f>P54</f>
        <v/>
      </c>
      <c r="R54" s="39" t="n">
        <v>0</v>
      </c>
      <c r="S54" s="12">
        <f>R54</f>
        <v/>
      </c>
      <c r="T54" s="15">
        <f>S54*$D54</f>
        <v/>
      </c>
      <c r="U54" s="16">
        <f>T54</f>
        <v/>
      </c>
      <c r="V54" s="39" t="n">
        <v>0.5</v>
      </c>
      <c r="W54" s="12">
        <f>V54</f>
        <v/>
      </c>
      <c r="X54" s="15">
        <f>W54*$D54</f>
        <v/>
      </c>
      <c r="Y54" s="16">
        <f>X54</f>
        <v/>
      </c>
      <c r="Z54" s="39" t="n">
        <v>0</v>
      </c>
      <c r="AA54" s="12">
        <f>Z54</f>
        <v/>
      </c>
      <c r="AB54" s="15">
        <f>AA54*$D54</f>
        <v/>
      </c>
      <c r="AC54" s="16">
        <f>AB54</f>
        <v/>
      </c>
    </row>
    <row r="55" customFormat="1" s="39">
      <c r="A55" s="30">
        <f>'2_MechAdd_Script'!A55</f>
        <v/>
      </c>
      <c r="B55" t="inlineStr">
        <is>
          <t>SWood_GT10_000hr</t>
        </is>
      </c>
      <c r="C55" s="4" t="n"/>
      <c r="D55" s="8" t="n">
        <v>0.75</v>
      </c>
      <c r="E55" s="31" t="n"/>
      <c r="F55" s="39" t="n">
        <v>0</v>
      </c>
      <c r="G55" s="12">
        <f>F55</f>
        <v/>
      </c>
      <c r="H55" s="15">
        <f>G55*$D55</f>
        <v/>
      </c>
      <c r="I55" s="16">
        <f>H55</f>
        <v/>
      </c>
      <c r="J55" s="39" t="n">
        <v>0</v>
      </c>
      <c r="K55" s="12">
        <f>J55</f>
        <v/>
      </c>
      <c r="L55" s="15">
        <f>K55*$D55</f>
        <v/>
      </c>
      <c r="M55" s="16">
        <f>L55</f>
        <v/>
      </c>
      <c r="O55" s="12">
        <f>N55</f>
        <v/>
      </c>
      <c r="P55" s="15">
        <f>O55*$D55</f>
        <v/>
      </c>
      <c r="Q55" s="16">
        <f>P55</f>
        <v/>
      </c>
      <c r="R55" s="39" t="n">
        <v>0</v>
      </c>
      <c r="S55" s="12">
        <f>R55</f>
        <v/>
      </c>
      <c r="T55" s="15">
        <f>S55*$D55</f>
        <v/>
      </c>
      <c r="U55" s="16">
        <f>T55</f>
        <v/>
      </c>
      <c r="V55" s="39" t="n">
        <v>0.5</v>
      </c>
      <c r="W55" s="12">
        <f>V55</f>
        <v/>
      </c>
      <c r="X55" s="15">
        <f>W55*$D55</f>
        <v/>
      </c>
      <c r="Y55" s="16">
        <f>X55</f>
        <v/>
      </c>
      <c r="Z55" s="39" t="n">
        <v>0</v>
      </c>
      <c r="AA55" s="12">
        <f>Z55</f>
        <v/>
      </c>
      <c r="AB55" s="15">
        <f>AA55*$D55</f>
        <v/>
      </c>
      <c r="AC55" s="16">
        <f>AB55</f>
        <v/>
      </c>
    </row>
    <row r="56" customFormat="1" s="39">
      <c r="A56" s="30">
        <f>'2_MechAdd_Script'!A56</f>
        <v/>
      </c>
      <c r="B56" t="inlineStr">
        <is>
          <t>RWood_1000hr</t>
        </is>
      </c>
      <c r="C56" s="4" t="n"/>
      <c r="D56" s="8" t="inlineStr">
        <is>
          <t>Add 0.25</t>
        </is>
      </c>
      <c r="E56" s="31" t="inlineStr">
        <is>
          <t>Add 0.5</t>
        </is>
      </c>
      <c r="F56" s="39" t="n">
        <v>5</v>
      </c>
      <c r="G56" s="12">
        <f>F56</f>
        <v/>
      </c>
      <c r="H56" s="15">
        <f>(G53*0.25)+G56</f>
        <v/>
      </c>
      <c r="I56" s="19">
        <f>(H53*0.5)+H56</f>
        <v/>
      </c>
      <c r="K56" s="12">
        <f>J56</f>
        <v/>
      </c>
      <c r="L56" s="15">
        <f>(K53*0.25)+K56</f>
        <v/>
      </c>
      <c r="M56" s="19">
        <f>(L53*0.5)+L56</f>
        <v/>
      </c>
      <c r="O56" s="12">
        <f>N56</f>
        <v/>
      </c>
      <c r="P56" s="15">
        <f>(O53*0.25)+O56</f>
        <v/>
      </c>
      <c r="Q56" s="19">
        <f>(P53*0.5)+P56</f>
        <v/>
      </c>
      <c r="R56" s="39" t="n">
        <v>0.5</v>
      </c>
      <c r="S56" s="12">
        <f>R56</f>
        <v/>
      </c>
      <c r="T56" s="15">
        <f>(S53*0.25)+S56</f>
        <v/>
      </c>
      <c r="U56" s="19">
        <f>(T53*0.5)+T56</f>
        <v/>
      </c>
      <c r="V56" s="39" t="n">
        <v>0.75</v>
      </c>
      <c r="W56" s="12">
        <f>V56</f>
        <v/>
      </c>
      <c r="X56" s="15">
        <f>(W53*0.25)+W56</f>
        <v/>
      </c>
      <c r="Y56" s="19">
        <f>(X53*0.5)+X56</f>
        <v/>
      </c>
      <c r="AA56" s="12">
        <f>Z56</f>
        <v/>
      </c>
      <c r="AB56" s="15">
        <f>(AA53*0.25)+AA56</f>
        <v/>
      </c>
      <c r="AC56" s="19">
        <f>(AB53*0.5)+AB56</f>
        <v/>
      </c>
    </row>
    <row r="57" customFormat="1" s="39">
      <c r="A57" s="30">
        <f>'2_MechAdd_Script'!A57</f>
        <v/>
      </c>
      <c r="B57" t="inlineStr">
        <is>
          <t>RWood_10_000hr</t>
        </is>
      </c>
      <c r="C57" s="4" t="n"/>
      <c r="D57" s="8" t="inlineStr">
        <is>
          <t>Add 0.25</t>
        </is>
      </c>
      <c r="E57" s="31" t="inlineStr">
        <is>
          <t>Add 0.5</t>
        </is>
      </c>
      <c r="F57" s="39" t="n">
        <v>11</v>
      </c>
      <c r="G57" s="12">
        <f>F57</f>
        <v/>
      </c>
      <c r="H57" s="15">
        <f>(G54*0.25)+G57</f>
        <v/>
      </c>
      <c r="I57" s="19">
        <f>(H54*0.5)+H57</f>
        <v/>
      </c>
      <c r="K57" s="12">
        <f>J57</f>
        <v/>
      </c>
      <c r="L57" s="15">
        <f>(K54*0.25)+K57</f>
        <v/>
      </c>
      <c r="M57" s="19">
        <f>(L54*0.5)+L57</f>
        <v/>
      </c>
      <c r="O57" s="12">
        <f>N57</f>
        <v/>
      </c>
      <c r="P57" s="15">
        <f>(O54*0.25)+O57</f>
        <v/>
      </c>
      <c r="Q57" s="19">
        <f>(P54*0.5)+P57</f>
        <v/>
      </c>
      <c r="R57" s="39" t="n">
        <v>0</v>
      </c>
      <c r="S57" s="12">
        <f>R57</f>
        <v/>
      </c>
      <c r="T57" s="15">
        <f>(S54*0.25)+S57</f>
        <v/>
      </c>
      <c r="U57" s="19">
        <f>(T54*0.5)+T57</f>
        <v/>
      </c>
      <c r="V57" s="39" t="n">
        <v>0.3</v>
      </c>
      <c r="W57" s="12">
        <f>V57</f>
        <v/>
      </c>
      <c r="X57" s="15">
        <f>(W54*0.25)+W57</f>
        <v/>
      </c>
      <c r="Y57" s="19">
        <f>(X54*0.5)+X57</f>
        <v/>
      </c>
      <c r="AA57" s="12">
        <f>Z57</f>
        <v/>
      </c>
      <c r="AB57" s="15">
        <f>(AA54*0.25)+AA57</f>
        <v/>
      </c>
      <c r="AC57" s="19">
        <f>(AB54*0.5)+AB57</f>
        <v/>
      </c>
    </row>
    <row r="58" customFormat="1" s="39">
      <c r="A58" s="30">
        <f>'2_MechAdd_Script'!A58</f>
        <v/>
      </c>
      <c r="B58" t="inlineStr">
        <is>
          <t>RWood_GT10_000hr</t>
        </is>
      </c>
      <c r="C58" s="4" t="n"/>
      <c r="D58" s="8" t="inlineStr">
        <is>
          <t>Add 0.25</t>
        </is>
      </c>
      <c r="E58" s="31" t="inlineStr">
        <is>
          <t>Add 0.5</t>
        </is>
      </c>
      <c r="F58" s="39" t="n">
        <v>0</v>
      </c>
      <c r="G58" s="12">
        <f>F58</f>
        <v/>
      </c>
      <c r="H58" s="15">
        <f>(G55*0.25)+G58</f>
        <v/>
      </c>
      <c r="I58" s="19">
        <f>(H55*0.5)+H58</f>
        <v/>
      </c>
      <c r="K58" s="12">
        <f>J58</f>
        <v/>
      </c>
      <c r="L58" s="15">
        <f>(K55*0.25)+K58</f>
        <v/>
      </c>
      <c r="M58" s="19">
        <f>(L55*0.5)+L58</f>
        <v/>
      </c>
      <c r="O58" s="12">
        <f>N58</f>
        <v/>
      </c>
      <c r="P58" s="15">
        <f>(O55*0.25)+O58</f>
        <v/>
      </c>
      <c r="Q58" s="19">
        <f>(P55*0.5)+P58</f>
        <v/>
      </c>
      <c r="R58" s="39" t="n">
        <v>0</v>
      </c>
      <c r="S58" s="12">
        <f>R58</f>
        <v/>
      </c>
      <c r="T58" s="15">
        <f>(S55*0.25)+S58</f>
        <v/>
      </c>
      <c r="U58" s="19">
        <f>(T55*0.5)+T58</f>
        <v/>
      </c>
      <c r="V58" s="39" t="n">
        <v>0</v>
      </c>
      <c r="W58" s="12">
        <f>V58</f>
        <v/>
      </c>
      <c r="X58" s="15">
        <f>(W55*0.25)+W58</f>
        <v/>
      </c>
      <c r="Y58" s="19">
        <f>(X55*0.5)+X58</f>
        <v/>
      </c>
      <c r="AA58" s="12">
        <f>Z58</f>
        <v/>
      </c>
      <c r="AB58" s="15">
        <f>(AA55*0.25)+AA58</f>
        <v/>
      </c>
      <c r="AC58" s="19">
        <f>(AB55*0.5)+AB58</f>
        <v/>
      </c>
    </row>
    <row r="59" customFormat="1" s="39">
      <c r="A59" s="30">
        <f>'2_MechAdd_Script'!A59</f>
        <v/>
      </c>
      <c r="B59" t="inlineStr">
        <is>
          <t>SStump_Diameter</t>
        </is>
      </c>
      <c r="C59" s="4" t="n"/>
      <c r="D59" s="8" t="n"/>
      <c r="E59" s="31" t="n">
        <v>0</v>
      </c>
      <c r="F59" s="39" t="n">
        <v>9.6</v>
      </c>
      <c r="G59" s="12">
        <f>F59</f>
        <v/>
      </c>
      <c r="H59" s="15">
        <f>G59</f>
        <v/>
      </c>
      <c r="I59" s="16">
        <f>$E59*H59</f>
        <v/>
      </c>
      <c r="K59" s="12">
        <f>J59</f>
        <v/>
      </c>
      <c r="L59" s="15">
        <f>K59</f>
        <v/>
      </c>
      <c r="M59" s="16">
        <f>$E59*L59</f>
        <v/>
      </c>
      <c r="O59" s="12">
        <f>N59</f>
        <v/>
      </c>
      <c r="P59" s="15">
        <f>O59</f>
        <v/>
      </c>
      <c r="Q59" s="16">
        <f>$E59*P59</f>
        <v/>
      </c>
      <c r="R59" s="39" t="n">
        <v>3.5</v>
      </c>
      <c r="S59" s="12">
        <f>R59</f>
        <v/>
      </c>
      <c r="T59" s="15">
        <f>S59</f>
        <v/>
      </c>
      <c r="U59" s="16">
        <f>$E59*T59</f>
        <v/>
      </c>
      <c r="W59" s="12">
        <f>V59</f>
        <v/>
      </c>
      <c r="X59" s="15">
        <f>W59</f>
        <v/>
      </c>
      <c r="Y59" s="16">
        <f>$E59*X59</f>
        <v/>
      </c>
      <c r="AA59" s="12">
        <f>Z59</f>
        <v/>
      </c>
      <c r="AB59" s="15">
        <f>AA59</f>
        <v/>
      </c>
      <c r="AC59" s="16">
        <f>$E59*AB59</f>
        <v/>
      </c>
    </row>
    <row r="60" customFormat="1" s="39">
      <c r="A60" s="30">
        <f>'2_MechAdd_Script'!A60</f>
        <v/>
      </c>
      <c r="B60" t="inlineStr">
        <is>
          <t>SStump_Height</t>
        </is>
      </c>
      <c r="C60" s="4" t="n"/>
      <c r="D60" s="8" t="n"/>
      <c r="E60" s="31" t="n">
        <v>0</v>
      </c>
      <c r="F60" s="39" t="n">
        <v>0.4</v>
      </c>
      <c r="G60" s="12">
        <f>F60</f>
        <v/>
      </c>
      <c r="H60" s="15">
        <f>G60</f>
        <v/>
      </c>
      <c r="I60" s="16">
        <f>$E60*H60</f>
        <v/>
      </c>
      <c r="K60" s="12">
        <f>J60</f>
        <v/>
      </c>
      <c r="L60" s="15">
        <f>K60</f>
        <v/>
      </c>
      <c r="M60" s="16">
        <f>$E60*L60</f>
        <v/>
      </c>
      <c r="O60" s="12">
        <f>N60</f>
        <v/>
      </c>
      <c r="P60" s="15">
        <f>O60</f>
        <v/>
      </c>
      <c r="Q60" s="16">
        <f>$E60*P60</f>
        <v/>
      </c>
      <c r="R60" s="39" t="n">
        <v>2</v>
      </c>
      <c r="S60" s="12">
        <f>R60</f>
        <v/>
      </c>
      <c r="T60" s="15">
        <f>S60</f>
        <v/>
      </c>
      <c r="U60" s="16">
        <f>$E60*T60</f>
        <v/>
      </c>
      <c r="W60" s="12">
        <f>V60</f>
        <v/>
      </c>
      <c r="X60" s="15">
        <f>W60</f>
        <v/>
      </c>
      <c r="Y60" s="16">
        <f>$E60*X60</f>
        <v/>
      </c>
      <c r="AA60" s="12">
        <f>Z60</f>
        <v/>
      </c>
      <c r="AB60" s="15">
        <f>AA60</f>
        <v/>
      </c>
      <c r="AC60" s="16">
        <f>$E60*AB60</f>
        <v/>
      </c>
    </row>
    <row r="61" customFormat="1" s="39">
      <c r="A61" s="30">
        <f>'2_MechAdd_Script'!A61</f>
        <v/>
      </c>
      <c r="B61" t="inlineStr">
        <is>
          <t>SStump_Density</t>
        </is>
      </c>
      <c r="C61" s="4" t="inlineStr">
        <is>
          <t>Add 0.5Over Mid Density</t>
        </is>
      </c>
      <c r="D61" s="8" t="n"/>
      <c r="E61" s="31" t="n">
        <v>0</v>
      </c>
      <c r="F61" s="39" t="n">
        <v>115</v>
      </c>
      <c r="G61" s="12">
        <f>F61+(F7*0.5)+(F12*0.5)</f>
        <v/>
      </c>
      <c r="H61" s="15">
        <f>G61</f>
        <v/>
      </c>
      <c r="I61" s="16">
        <f>$E61*H61</f>
        <v/>
      </c>
      <c r="K61" s="12">
        <f>J61+(J7*0.5)+(J12*0.5)</f>
        <v/>
      </c>
      <c r="L61" s="15">
        <f>K61</f>
        <v/>
      </c>
      <c r="M61" s="16">
        <f>$E61*L61</f>
        <v/>
      </c>
      <c r="O61" s="12">
        <f>N61+(N7*0.5)+(N12*0.5)</f>
        <v/>
      </c>
      <c r="P61" s="15">
        <f>O61</f>
        <v/>
      </c>
      <c r="Q61" s="16">
        <f>$E61*P61</f>
        <v/>
      </c>
      <c r="R61" s="39" t="n">
        <v>50</v>
      </c>
      <c r="S61" s="12">
        <f>R61+(R7*0.5)+(R12*0.5)</f>
        <v/>
      </c>
      <c r="T61" s="15">
        <f>S61</f>
        <v/>
      </c>
      <c r="U61" s="16">
        <f>$E61*T61</f>
        <v/>
      </c>
      <c r="W61" s="12">
        <f>V61+(V7*0.5)+(V12*0.5)</f>
        <v/>
      </c>
      <c r="X61" s="15">
        <f>W61</f>
        <v/>
      </c>
      <c r="Y61" s="16">
        <f>$E61*X61</f>
        <v/>
      </c>
      <c r="AA61" s="12">
        <f>Z61+(Z7*0.5)+(Z12*0.5)</f>
        <v/>
      </c>
      <c r="AB61" s="15">
        <f>AA61</f>
        <v/>
      </c>
      <c r="AC61" s="16">
        <f>$E61*AB61</f>
        <v/>
      </c>
    </row>
    <row r="62" customFormat="1" s="39">
      <c r="A62" s="30">
        <f>'2_MechAdd_Script'!A62</f>
        <v/>
      </c>
      <c r="B62" t="inlineStr">
        <is>
          <t>RStump_Diameter</t>
        </is>
      </c>
      <c r="C62" s="4" t="n"/>
      <c r="D62" s="8" t="n"/>
      <c r="E62" s="31" t="n"/>
      <c r="F62" s="39" t="n">
        <v>9.6</v>
      </c>
      <c r="G62" s="12">
        <f>F62</f>
        <v/>
      </c>
      <c r="H62" s="15">
        <f>G62</f>
        <v/>
      </c>
      <c r="I62" s="42">
        <f>IF(H62&gt;0,H62,IF(H64+H61=0,0,H59))</f>
        <v/>
      </c>
      <c r="K62" s="12">
        <f>J62</f>
        <v/>
      </c>
      <c r="L62" s="15">
        <f>K62</f>
        <v/>
      </c>
      <c r="M62" s="42">
        <f>IF(L62&gt;0,L62,IF(L64+L61=0,0,L59))</f>
        <v/>
      </c>
      <c r="O62" s="12">
        <f>N62</f>
        <v/>
      </c>
      <c r="P62" s="15">
        <f>O62</f>
        <v/>
      </c>
      <c r="Q62" s="42">
        <f>IF(P62&gt;0,P62,IF(P64+P61=0,0,P59))</f>
        <v/>
      </c>
      <c r="R62" s="39" t="n">
        <v>3.5</v>
      </c>
      <c r="S62" s="12">
        <f>R62</f>
        <v/>
      </c>
      <c r="T62" s="15">
        <f>S62</f>
        <v/>
      </c>
      <c r="U62" s="42">
        <f>IF(T62&gt;0,T62,IF(T64+T61=0,0,T59))</f>
        <v/>
      </c>
      <c r="V62" s="39" t="n">
        <v>10</v>
      </c>
      <c r="W62" s="12">
        <f>V62</f>
        <v/>
      </c>
      <c r="X62" s="15">
        <f>W62</f>
        <v/>
      </c>
      <c r="Y62" s="42">
        <f>IF(X62&gt;0,X62,IF(X64+X61=0,0,X59))</f>
        <v/>
      </c>
      <c r="Z62" s="39" t="n">
        <v>10</v>
      </c>
      <c r="AA62" s="12">
        <f>Z62</f>
        <v/>
      </c>
      <c r="AB62" s="15">
        <f>AA62</f>
        <v/>
      </c>
      <c r="AC62" s="42">
        <f>IF(AB62&gt;0,AB62,IF(AB64+AB61=0,0,AB59))</f>
        <v/>
      </c>
    </row>
    <row r="63" customFormat="1" s="39">
      <c r="A63" s="30">
        <f>'2_MechAdd_Script'!A63</f>
        <v/>
      </c>
      <c r="B63" t="inlineStr">
        <is>
          <t>RStump_Height</t>
        </is>
      </c>
      <c r="C63" s="4" t="n"/>
      <c r="D63" s="8" t="n"/>
      <c r="E63" s="31" t="n"/>
      <c r="F63" s="39" t="n">
        <v>0.4</v>
      </c>
      <c r="G63" s="12">
        <f>F63</f>
        <v/>
      </c>
      <c r="H63" s="15">
        <f>G63</f>
        <v/>
      </c>
      <c r="I63" s="42">
        <f>IF(H63&gt;0,H63,IF(H64+H61=0,0,H60))</f>
        <v/>
      </c>
      <c r="K63" s="12">
        <f>J63</f>
        <v/>
      </c>
      <c r="L63" s="15">
        <f>K63</f>
        <v/>
      </c>
      <c r="M63" s="42">
        <f>IF(L63&gt;0,L63,IF(L64+L61=0,0,L60))</f>
        <v/>
      </c>
      <c r="O63" s="12">
        <f>N63</f>
        <v/>
      </c>
      <c r="P63" s="15">
        <f>O63</f>
        <v/>
      </c>
      <c r="Q63" s="42">
        <f>IF(P63&gt;0,P63,IF(P64+P61=0,0,P60))</f>
        <v/>
      </c>
      <c r="R63" s="39" t="n">
        <v>2</v>
      </c>
      <c r="S63" s="12">
        <f>R63</f>
        <v/>
      </c>
      <c r="T63" s="15">
        <f>S63</f>
        <v/>
      </c>
      <c r="U63" s="42">
        <f>IF(T63&gt;0,T63,IF(T64+T61=0,0,T60))</f>
        <v/>
      </c>
      <c r="V63" s="39" t="n">
        <v>1</v>
      </c>
      <c r="W63" s="12">
        <f>V63</f>
        <v/>
      </c>
      <c r="X63" s="15">
        <f>W63</f>
        <v/>
      </c>
      <c r="Y63" s="42">
        <f>IF(X63&gt;0,X63,IF(X64+X61=0,0,X60))</f>
        <v/>
      </c>
      <c r="Z63" s="39" t="n">
        <v>1</v>
      </c>
      <c r="AA63" s="12">
        <f>Z63</f>
        <v/>
      </c>
      <c r="AB63" s="15">
        <f>AA63</f>
        <v/>
      </c>
      <c r="AC63" s="42">
        <f>IF(AB63&gt;0,AB63,IF(AB64+AB61=0,0,AB60))</f>
        <v/>
      </c>
    </row>
    <row r="64" customFormat="1" s="39">
      <c r="A64" s="30">
        <f>'2_MechAdd_Script'!A64</f>
        <v/>
      </c>
      <c r="B64" t="inlineStr">
        <is>
          <t>RStump_Density</t>
        </is>
      </c>
      <c r="C64" s="4" t="n"/>
      <c r="D64" s="8" t="n"/>
      <c r="E64" s="31" t="inlineStr">
        <is>
          <t>Add S Stump Density</t>
        </is>
      </c>
      <c r="F64" s="39" t="n">
        <v>115</v>
      </c>
      <c r="G64" s="12">
        <f>F64</f>
        <v/>
      </c>
      <c r="H64" s="15">
        <f>G64</f>
        <v/>
      </c>
      <c r="I64" s="16">
        <f>H64+H61</f>
        <v/>
      </c>
      <c r="K64" s="12">
        <f>J64</f>
        <v/>
      </c>
      <c r="L64" s="15">
        <f>K64</f>
        <v/>
      </c>
      <c r="M64" s="16">
        <f>L64+L61</f>
        <v/>
      </c>
      <c r="O64" s="12">
        <f>N64</f>
        <v/>
      </c>
      <c r="P64" s="15">
        <f>O64</f>
        <v/>
      </c>
      <c r="Q64" s="16">
        <f>P64+P61</f>
        <v/>
      </c>
      <c r="R64" s="39" t="n">
        <v>50</v>
      </c>
      <c r="S64" s="12">
        <f>R64</f>
        <v/>
      </c>
      <c r="T64" s="15">
        <f>S64</f>
        <v/>
      </c>
      <c r="U64" s="16">
        <f>T64+T61</f>
        <v/>
      </c>
      <c r="V64" s="39" t="n">
        <v>5</v>
      </c>
      <c r="W64" s="12">
        <f>V64</f>
        <v/>
      </c>
      <c r="X64" s="15">
        <f>W64</f>
        <v/>
      </c>
      <c r="Y64" s="16">
        <f>X64+X61</f>
        <v/>
      </c>
      <c r="Z64" s="39" t="n">
        <v>3</v>
      </c>
      <c r="AA64" s="12">
        <f>Z64</f>
        <v/>
      </c>
      <c r="AB64" s="15">
        <f>AA64</f>
        <v/>
      </c>
      <c r="AC64" s="16">
        <f>AB64+AB61</f>
        <v/>
      </c>
    </row>
    <row r="65" customFormat="1" s="39">
      <c r="A65" s="30">
        <f>'2_MechAdd_Script'!A65</f>
        <v/>
      </c>
      <c r="B65" t="inlineStr">
        <is>
          <t>LStump_Diameter</t>
        </is>
      </c>
      <c r="C65" s="4" t="n"/>
      <c r="D65" s="8" t="n"/>
      <c r="E65" s="31" t="n"/>
      <c r="G65" s="12">
        <f>F65</f>
        <v/>
      </c>
      <c r="H65" s="15">
        <f>G65</f>
        <v/>
      </c>
      <c r="I65" s="16">
        <f>H65</f>
        <v/>
      </c>
      <c r="K65" s="12">
        <f>J65</f>
        <v/>
      </c>
      <c r="L65" s="15">
        <f>K65</f>
        <v/>
      </c>
      <c r="M65" s="16">
        <f>L65</f>
        <v/>
      </c>
      <c r="O65" s="12">
        <f>N65</f>
        <v/>
      </c>
      <c r="P65" s="15">
        <f>O65</f>
        <v/>
      </c>
      <c r="Q65" s="16">
        <f>P65</f>
        <v/>
      </c>
      <c r="S65" s="12">
        <f>R65</f>
        <v/>
      </c>
      <c r="T65" s="15">
        <f>S65</f>
        <v/>
      </c>
      <c r="U65" s="16">
        <f>T65</f>
        <v/>
      </c>
      <c r="W65" s="12">
        <f>V65</f>
        <v/>
      </c>
      <c r="X65" s="15">
        <f>W65</f>
        <v/>
      </c>
      <c r="Y65" s="16">
        <f>X65</f>
        <v/>
      </c>
      <c r="AA65" s="12">
        <f>Z65</f>
        <v/>
      </c>
      <c r="AB65" s="15">
        <f>AA65</f>
        <v/>
      </c>
      <c r="AC65" s="16">
        <f>AB65</f>
        <v/>
      </c>
    </row>
    <row r="66" customFormat="1" s="39">
      <c r="A66" s="30">
        <f>'2_MechAdd_Script'!A66</f>
        <v/>
      </c>
      <c r="B66" t="inlineStr">
        <is>
          <t>LStump_Height</t>
        </is>
      </c>
      <c r="C66" s="4" t="n"/>
      <c r="D66" s="8" t="n"/>
      <c r="E66" s="31"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39">
      <c r="A67" s="30">
        <f>'2_MechAdd_Script'!A67</f>
        <v/>
      </c>
      <c r="B67" t="inlineStr">
        <is>
          <t>LStump_Density</t>
        </is>
      </c>
      <c r="C67" s="4" t="n"/>
      <c r="D67" s="8" t="n"/>
      <c r="E67" s="31"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39">
      <c r="A68" s="30">
        <f>'2_MechAdd_Script'!A68</f>
        <v/>
      </c>
      <c r="B68" t="inlineStr">
        <is>
          <t>CleanPile_Load</t>
        </is>
      </c>
      <c r="C68" s="4" t="n"/>
      <c r="D68" s="8" t="n"/>
      <c r="E68" s="31" t="n"/>
      <c r="F68" s="39" t="n">
        <v>0.07811899999999999</v>
      </c>
      <c r="G68" s="12">
        <f>F68</f>
        <v/>
      </c>
      <c r="H68" s="15">
        <f>G68</f>
        <v/>
      </c>
      <c r="I68" s="16">
        <f>H68</f>
        <v/>
      </c>
      <c r="J68" s="39" t="n">
        <v>0</v>
      </c>
      <c r="K68" s="12">
        <f>J68</f>
        <v/>
      </c>
      <c r="L68" s="15">
        <f>K68</f>
        <v/>
      </c>
      <c r="M68" s="16">
        <f>L68</f>
        <v/>
      </c>
      <c r="N68" s="39" t="n">
        <v>0</v>
      </c>
      <c r="O68" s="12">
        <f>N68</f>
        <v/>
      </c>
      <c r="P68" s="15">
        <f>O68</f>
        <v/>
      </c>
      <c r="Q68" s="16">
        <f>P68</f>
        <v/>
      </c>
      <c r="R68" s="39" t="n">
        <v>0.08181099999999999</v>
      </c>
      <c r="S68" s="12">
        <f>R68</f>
        <v/>
      </c>
      <c r="T68" s="15">
        <f>S68</f>
        <v/>
      </c>
      <c r="U68" s="16">
        <f>T68</f>
        <v/>
      </c>
      <c r="V68" s="39" t="n">
        <v>0.135893</v>
      </c>
      <c r="W68" s="12">
        <f>V68</f>
        <v/>
      </c>
      <c r="X68" s="15">
        <f>W68</f>
        <v/>
      </c>
      <c r="Y68" s="16">
        <f>X68</f>
        <v/>
      </c>
      <c r="Z68" s="39" t="n">
        <v>0</v>
      </c>
      <c r="AA68" s="12">
        <f>Z68</f>
        <v/>
      </c>
      <c r="AB68" s="15">
        <f>AA68</f>
        <v/>
      </c>
      <c r="AC68" s="16">
        <f>AB68</f>
        <v/>
      </c>
    </row>
    <row r="69" ht="16.5" customFormat="1" customHeight="1" s="39">
      <c r="A69" s="30">
        <f>'2_MechAdd_Script'!A69</f>
        <v/>
      </c>
      <c r="B69" t="inlineStr">
        <is>
          <t>DirtyPile_Load</t>
        </is>
      </c>
      <c r="C69" s="4" t="n"/>
      <c r="D69" s="8" t="n"/>
      <c r="E69" s="31" t="n"/>
      <c r="F69" s="39" t="n">
        <v>0</v>
      </c>
      <c r="G69" s="12">
        <f>F69</f>
        <v/>
      </c>
      <c r="H69" s="15">
        <f>G69</f>
        <v/>
      </c>
      <c r="I69" s="16">
        <f>H69</f>
        <v/>
      </c>
      <c r="J69" s="39" t="n">
        <v>0</v>
      </c>
      <c r="K69" s="12">
        <f>J69</f>
        <v/>
      </c>
      <c r="L69" s="15">
        <f>K69</f>
        <v/>
      </c>
      <c r="M69" s="16">
        <f>L69</f>
        <v/>
      </c>
      <c r="N69" s="39" t="n">
        <v>0</v>
      </c>
      <c r="O69" s="12">
        <f>N69</f>
        <v/>
      </c>
      <c r="P69" s="15">
        <f>O69</f>
        <v/>
      </c>
      <c r="Q69" s="16">
        <f>P69</f>
        <v/>
      </c>
      <c r="R69" s="39" t="n">
        <v>0</v>
      </c>
      <c r="S69" s="12">
        <f>R69</f>
        <v/>
      </c>
      <c r="T69" s="15">
        <f>S69</f>
        <v/>
      </c>
      <c r="U69" s="16">
        <f>T69</f>
        <v/>
      </c>
      <c r="V69" s="39" t="n">
        <v>0</v>
      </c>
      <c r="W69" s="12">
        <f>V69</f>
        <v/>
      </c>
      <c r="X69" s="15">
        <f>W69</f>
        <v/>
      </c>
      <c r="Y69" s="16">
        <f>X69</f>
        <v/>
      </c>
      <c r="Z69" s="39" t="n">
        <v>0</v>
      </c>
      <c r="AA69" s="12">
        <f>Z69</f>
        <v/>
      </c>
      <c r="AB69" s="15">
        <f>AA69</f>
        <v/>
      </c>
      <c r="AC69" s="16">
        <f>AB69</f>
        <v/>
      </c>
    </row>
    <row r="70" customFormat="1" s="39">
      <c r="A70" s="30">
        <f>'2_MechAdd_Script'!A70</f>
        <v/>
      </c>
      <c r="B70" t="inlineStr">
        <is>
          <t>VDirtyPile_Load</t>
        </is>
      </c>
      <c r="C70" s="4" t="n"/>
      <c r="D70" s="8" t="n"/>
      <c r="E70" s="31" t="n"/>
      <c r="F70" s="39" t="n">
        <v>0</v>
      </c>
      <c r="G70" s="12">
        <f>F70</f>
        <v/>
      </c>
      <c r="H70" s="15">
        <f>G70</f>
        <v/>
      </c>
      <c r="I70" s="16">
        <f>H70</f>
        <v/>
      </c>
      <c r="J70" s="39" t="n">
        <v>0</v>
      </c>
      <c r="K70" s="12">
        <f>J70</f>
        <v/>
      </c>
      <c r="L70" s="15">
        <f>K70</f>
        <v/>
      </c>
      <c r="M70" s="16">
        <f>L70</f>
        <v/>
      </c>
      <c r="N70" s="39" t="n">
        <v>0</v>
      </c>
      <c r="O70" s="12">
        <f>N70</f>
        <v/>
      </c>
      <c r="P70" s="15">
        <f>O70</f>
        <v/>
      </c>
      <c r="Q70" s="16">
        <f>P70</f>
        <v/>
      </c>
      <c r="R70" s="39" t="n">
        <v>0</v>
      </c>
      <c r="S70" s="12">
        <f>R70</f>
        <v/>
      </c>
      <c r="T70" s="15">
        <f>S70</f>
        <v/>
      </c>
      <c r="U70" s="16">
        <f>T70</f>
        <v/>
      </c>
      <c r="V70" s="39" t="n">
        <v>0</v>
      </c>
      <c r="W70" s="12">
        <f>V70</f>
        <v/>
      </c>
      <c r="X70" s="15">
        <f>W70</f>
        <v/>
      </c>
      <c r="Y70" s="16">
        <f>X70</f>
        <v/>
      </c>
      <c r="Z70" s="39" t="n">
        <v>0</v>
      </c>
      <c r="AA70" s="12">
        <f>Z70</f>
        <v/>
      </c>
      <c r="AB70" s="15">
        <f>AA70</f>
        <v/>
      </c>
      <c r="AC70" s="16">
        <f>AB70</f>
        <v/>
      </c>
    </row>
    <row r="71" customFormat="1" s="39">
      <c r="A71" s="30">
        <f>'2_MechAdd_Script'!A71</f>
        <v/>
      </c>
      <c r="B71" t="inlineStr">
        <is>
          <t>BroadleafLitter_RelCover</t>
        </is>
      </c>
      <c r="C71" s="4" t="n"/>
      <c r="D71" s="8" t="n"/>
      <c r="E71" s="31" t="n"/>
      <c r="G71" s="12">
        <f>F71</f>
        <v/>
      </c>
      <c r="H71" s="15">
        <f>G71</f>
        <v/>
      </c>
      <c r="I71" s="16">
        <f>H71</f>
        <v/>
      </c>
      <c r="K71" s="12">
        <f>J71</f>
        <v/>
      </c>
      <c r="L71" s="15">
        <f>K71</f>
        <v/>
      </c>
      <c r="M71" s="16">
        <f>L71</f>
        <v/>
      </c>
      <c r="O71" s="12">
        <f>N71</f>
        <v/>
      </c>
      <c r="P71" s="15">
        <f>O71</f>
        <v/>
      </c>
      <c r="Q71" s="16">
        <f>P71</f>
        <v/>
      </c>
      <c r="S71" s="12">
        <f>R71</f>
        <v/>
      </c>
      <c r="T71" s="15">
        <f>S71</f>
        <v/>
      </c>
      <c r="U71" s="16">
        <f>T71</f>
        <v/>
      </c>
      <c r="V71" s="39" t="n">
        <v>90</v>
      </c>
      <c r="W71" s="12">
        <f>V71</f>
        <v/>
      </c>
      <c r="X71" s="15">
        <f>W71</f>
        <v/>
      </c>
      <c r="Y71" s="16">
        <f>X71</f>
        <v/>
      </c>
      <c r="AA71" s="12">
        <f>Z71</f>
        <v/>
      </c>
      <c r="AB71" s="15">
        <f>AA71</f>
        <v/>
      </c>
      <c r="AC71" s="16">
        <f>AB71</f>
        <v/>
      </c>
    </row>
    <row r="72" customFormat="1" s="39">
      <c r="A72" s="30">
        <f>'2_MechAdd_Script'!A72</f>
        <v/>
      </c>
      <c r="B72" t="inlineStr">
        <is>
          <t>EvergreenLitter_RelCover</t>
        </is>
      </c>
      <c r="C72" s="4" t="n"/>
      <c r="D72" s="8" t="n"/>
      <c r="E72" s="31" t="n"/>
      <c r="G72" s="12">
        <f>F72</f>
        <v/>
      </c>
      <c r="H72" s="15">
        <f>G72</f>
        <v/>
      </c>
      <c r="I72" s="16">
        <f>H72</f>
        <v/>
      </c>
      <c r="J72" s="39"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39">
      <c r="A73" s="30">
        <f>'2_MechAdd_Script'!A73</f>
        <v/>
      </c>
      <c r="B73" t="inlineStr">
        <is>
          <t>GrassLitter_RelCover</t>
        </is>
      </c>
      <c r="C73" s="4" t="n"/>
      <c r="D73" s="8" t="n"/>
      <c r="E73" s="31" t="n"/>
      <c r="G73" s="12">
        <f>F73</f>
        <v/>
      </c>
      <c r="H73" s="15">
        <f>G73</f>
        <v/>
      </c>
      <c r="I73" s="16">
        <f>H73</f>
        <v/>
      </c>
      <c r="K73" s="12">
        <f>J73</f>
        <v/>
      </c>
      <c r="L73" s="15">
        <f>K73</f>
        <v/>
      </c>
      <c r="M73" s="16">
        <f>L73</f>
        <v/>
      </c>
      <c r="N73" s="39"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39">
      <c r="A74" s="30">
        <f>'2_MechAdd_Script'!A74</f>
        <v/>
      </c>
      <c r="B74" t="inlineStr">
        <is>
          <t>LongNeedleLitter_RelCover</t>
        </is>
      </c>
      <c r="C74" s="4" t="n"/>
      <c r="D74" s="8" t="n"/>
      <c r="E74" s="31"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39" t="n">
        <v>10</v>
      </c>
      <c r="W74" s="12">
        <f>V74</f>
        <v/>
      </c>
      <c r="X74" s="15">
        <f>W74</f>
        <v/>
      </c>
      <c r="Y74" s="16">
        <f>X74</f>
        <v/>
      </c>
      <c r="Z74" s="39" t="n">
        <v>40</v>
      </c>
      <c r="AA74" s="12">
        <f>Z74</f>
        <v/>
      </c>
      <c r="AB74" s="15">
        <f>AA74</f>
        <v/>
      </c>
      <c r="AC74" s="16">
        <f>AB74</f>
        <v/>
      </c>
    </row>
    <row r="75" customFormat="1" s="39">
      <c r="A75" s="30">
        <f>'2_MechAdd_Script'!A75</f>
        <v/>
      </c>
      <c r="B75" t="inlineStr">
        <is>
          <t>OtherConiferLitter_RelCover</t>
        </is>
      </c>
      <c r="C75" s="4" t="n"/>
      <c r="D75" s="8" t="n"/>
      <c r="E75" s="31" t="n"/>
      <c r="F75" s="13" t="n">
        <v>50</v>
      </c>
      <c r="G75" s="12">
        <f>F75</f>
        <v/>
      </c>
      <c r="H75" s="15">
        <f>G75</f>
        <v/>
      </c>
      <c r="I75" s="16">
        <f>H75</f>
        <v/>
      </c>
      <c r="K75" s="12">
        <f>J75</f>
        <v/>
      </c>
      <c r="L75" s="15">
        <f>K75</f>
        <v/>
      </c>
      <c r="M75" s="16">
        <f>L75</f>
        <v/>
      </c>
      <c r="O75" s="12">
        <f>N75</f>
        <v/>
      </c>
      <c r="P75" s="15">
        <f>O75</f>
        <v/>
      </c>
      <c r="Q75" s="16">
        <f>P75</f>
        <v/>
      </c>
      <c r="R75" s="39" t="n">
        <v>100</v>
      </c>
      <c r="S75" s="12">
        <f>R75</f>
        <v/>
      </c>
      <c r="T75" s="15">
        <f>S75</f>
        <v/>
      </c>
      <c r="U75" s="16">
        <f>T75</f>
        <v/>
      </c>
      <c r="W75" s="12">
        <f>V75</f>
        <v/>
      </c>
      <c r="X75" s="15">
        <f>W75</f>
        <v/>
      </c>
      <c r="Y75" s="16">
        <f>X75</f>
        <v/>
      </c>
      <c r="AA75" s="12">
        <f>Z75</f>
        <v/>
      </c>
      <c r="AB75" s="15">
        <f>AA75</f>
        <v/>
      </c>
      <c r="AC75" s="16">
        <f>AB75</f>
        <v/>
      </c>
    </row>
    <row r="76" customFormat="1" s="39">
      <c r="A76" s="30">
        <f>'2_MechAdd_Script'!A76</f>
        <v/>
      </c>
      <c r="B76" t="inlineStr">
        <is>
          <t>PalmLitter_RelCover</t>
        </is>
      </c>
      <c r="C76" s="4" t="n"/>
      <c r="D76" s="8" t="n"/>
      <c r="E76" s="31"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39" t="n">
        <v>60</v>
      </c>
      <c r="AA76" s="12">
        <f>Z76</f>
        <v/>
      </c>
      <c r="AB76" s="15">
        <f>AA76</f>
        <v/>
      </c>
      <c r="AC76" s="16">
        <f>AB76</f>
        <v/>
      </c>
    </row>
    <row r="77" customFormat="1" s="39">
      <c r="A77" s="30">
        <f>'2_MechAdd_Script'!A77</f>
        <v/>
      </c>
      <c r="B77" t="inlineStr">
        <is>
          <t>ShortNeedleLitter_RelCover</t>
        </is>
      </c>
      <c r="C77" s="4" t="n"/>
      <c r="D77" s="8" t="n"/>
      <c r="E77" s="31"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39">
      <c r="A78" s="30">
        <f>'2_MechAdd_Script'!A78</f>
        <v/>
      </c>
      <c r="B78" t="inlineStr">
        <is>
          <t>Lichen_Depth</t>
        </is>
      </c>
      <c r="C78" s="4" t="n"/>
      <c r="D78" s="8" t="n"/>
      <c r="E78" s="31" t="n"/>
      <c r="G78" s="12">
        <f>F78</f>
        <v/>
      </c>
      <c r="H78" s="15">
        <f>G78</f>
        <v/>
      </c>
      <c r="I78" s="16">
        <f>H78</f>
        <v/>
      </c>
      <c r="K78" s="12">
        <f>J78</f>
        <v/>
      </c>
      <c r="L78" s="15">
        <f>K78</f>
        <v/>
      </c>
      <c r="M78" s="16">
        <f>L78</f>
        <v/>
      </c>
      <c r="O78" s="12">
        <f>N78</f>
        <v/>
      </c>
      <c r="P78" s="15">
        <f>O78</f>
        <v/>
      </c>
      <c r="Q78" s="16">
        <f>P78</f>
        <v/>
      </c>
      <c r="R78" s="39" t="n">
        <v>2</v>
      </c>
      <c r="S78" s="12">
        <f>R78</f>
        <v/>
      </c>
      <c r="T78" s="15">
        <f>S78</f>
        <v/>
      </c>
      <c r="U78" s="16">
        <f>T78</f>
        <v/>
      </c>
      <c r="W78" s="12">
        <f>V78</f>
        <v/>
      </c>
      <c r="X78" s="15">
        <f>W78</f>
        <v/>
      </c>
      <c r="Y78" s="16">
        <f>X78</f>
        <v/>
      </c>
      <c r="AA78" s="12">
        <f>Z78</f>
        <v/>
      </c>
      <c r="AB78" s="15">
        <f>AA78</f>
        <v/>
      </c>
      <c r="AC78" s="16">
        <f>AB78</f>
        <v/>
      </c>
    </row>
    <row r="79" customFormat="1" s="39">
      <c r="A79" s="30">
        <f>'2_MechAdd_Script'!A79</f>
        <v/>
      </c>
      <c r="B79" t="inlineStr">
        <is>
          <t>Lichen_Cover</t>
        </is>
      </c>
      <c r="C79" s="4" t="n"/>
      <c r="D79" s="8" t="n"/>
      <c r="E79" s="31" t="n"/>
      <c r="G79" s="12">
        <f>F79</f>
        <v/>
      </c>
      <c r="H79" s="15">
        <f>G79</f>
        <v/>
      </c>
      <c r="I79" s="16">
        <f>H79</f>
        <v/>
      </c>
      <c r="K79" s="12">
        <f>J79</f>
        <v/>
      </c>
      <c r="L79" s="15">
        <f>K79</f>
        <v/>
      </c>
      <c r="M79" s="16">
        <f>L79</f>
        <v/>
      </c>
      <c r="O79" s="12">
        <f>N79</f>
        <v/>
      </c>
      <c r="P79" s="15">
        <f>O79</f>
        <v/>
      </c>
      <c r="Q79" s="16">
        <f>P79</f>
        <v/>
      </c>
      <c r="R79" s="39" t="n">
        <v>5</v>
      </c>
      <c r="S79" s="12">
        <f>R79</f>
        <v/>
      </c>
      <c r="T79" s="15">
        <f>S79</f>
        <v/>
      </c>
      <c r="U79" s="16">
        <f>T79</f>
        <v/>
      </c>
      <c r="W79" s="12">
        <f>V79</f>
        <v/>
      </c>
      <c r="X79" s="15">
        <f>W79</f>
        <v/>
      </c>
      <c r="Y79" s="16">
        <f>X79</f>
        <v/>
      </c>
      <c r="AA79" s="12">
        <f>Z79</f>
        <v/>
      </c>
      <c r="AB79" s="15">
        <f>AA79</f>
        <v/>
      </c>
      <c r="AC79" s="16">
        <f>AB79</f>
        <v/>
      </c>
    </row>
    <row r="80" customFormat="1" s="39">
      <c r="A80" s="30">
        <f>'2_MechAdd_Script'!A80</f>
        <v/>
      </c>
      <c r="B80" t="inlineStr">
        <is>
          <t>Litter_Depth</t>
        </is>
      </c>
      <c r="C80" s="4" t="n">
        <v>1.5</v>
      </c>
      <c r="D80" s="8" t="n"/>
      <c r="E80" s="31" t="n"/>
      <c r="F80" s="39" t="n">
        <v>0.2</v>
      </c>
      <c r="G80" s="12">
        <f>$C80*F80</f>
        <v/>
      </c>
      <c r="H80" s="15">
        <f>G80</f>
        <v/>
      </c>
      <c r="I80" s="16">
        <f>H80</f>
        <v/>
      </c>
      <c r="J80" s="39" t="n">
        <v>1</v>
      </c>
      <c r="K80" s="12">
        <f>$C80*J80</f>
        <v/>
      </c>
      <c r="L80" s="15">
        <f>K80</f>
        <v/>
      </c>
      <c r="M80" s="16">
        <f>L80</f>
        <v/>
      </c>
      <c r="N80" s="39" t="n">
        <v>2.5</v>
      </c>
      <c r="O80" s="12">
        <f>$C80*N80</f>
        <v/>
      </c>
      <c r="P80" s="15">
        <f>O80</f>
        <v/>
      </c>
      <c r="Q80" s="16">
        <f>P80</f>
        <v/>
      </c>
      <c r="R80" s="39" t="n">
        <v>1</v>
      </c>
      <c r="S80" s="12">
        <f>$C80*R80</f>
        <v/>
      </c>
      <c r="T80" s="15">
        <f>S80</f>
        <v/>
      </c>
      <c r="U80" s="16">
        <f>T80</f>
        <v/>
      </c>
      <c r="V80" s="39" t="n">
        <v>1.5</v>
      </c>
      <c r="W80" s="12">
        <f>$C80*V80</f>
        <v/>
      </c>
      <c r="X80" s="15">
        <f>W80</f>
        <v/>
      </c>
      <c r="Y80" s="16">
        <f>X80</f>
        <v/>
      </c>
      <c r="Z80" s="39" t="n">
        <v>2</v>
      </c>
      <c r="AA80" s="12">
        <f>$C80*Z80</f>
        <v/>
      </c>
      <c r="AB80" s="15">
        <f>AA80</f>
        <v/>
      </c>
      <c r="AC80" s="16">
        <f>AB80</f>
        <v/>
      </c>
    </row>
    <row r="81" customFormat="1" s="39">
      <c r="A81" s="30">
        <f>'2_MechAdd_Script'!A81</f>
        <v/>
      </c>
      <c r="B81" t="inlineStr">
        <is>
          <t>Litter_Cover</t>
        </is>
      </c>
      <c r="C81" s="4" t="n">
        <v>1.5</v>
      </c>
      <c r="D81" s="8" t="n"/>
      <c r="E81" s="31" t="n"/>
      <c r="F81" s="39" t="n">
        <v>70</v>
      </c>
      <c r="G81" s="12">
        <f>MIN(100,$C81*F81)</f>
        <v/>
      </c>
      <c r="H81" s="15">
        <f>G81</f>
        <v/>
      </c>
      <c r="I81" s="16">
        <f>H81</f>
        <v/>
      </c>
      <c r="J81" s="39" t="n">
        <v>60</v>
      </c>
      <c r="K81" s="12">
        <f>MIN(100,$C81*J81)</f>
        <v/>
      </c>
      <c r="L81" s="15">
        <f>K81</f>
        <v/>
      </c>
      <c r="M81" s="16">
        <f>L81</f>
        <v/>
      </c>
      <c r="N81" s="39" t="n">
        <v>5</v>
      </c>
      <c r="O81" s="12">
        <f>MIN(100,$C81*N81)</f>
        <v/>
      </c>
      <c r="P81" s="15">
        <f>O81</f>
        <v/>
      </c>
      <c r="Q81" s="16">
        <f>P81</f>
        <v/>
      </c>
      <c r="R81" s="39" t="n">
        <v>15</v>
      </c>
      <c r="S81" s="12">
        <f>MIN(100,$C81*R81)</f>
        <v/>
      </c>
      <c r="T81" s="15">
        <f>S81</f>
        <v/>
      </c>
      <c r="U81" s="16">
        <f>T81</f>
        <v/>
      </c>
      <c r="V81" s="39" t="n">
        <v>90</v>
      </c>
      <c r="W81" s="12">
        <f>MIN(100,$C81*V81)</f>
        <v/>
      </c>
      <c r="X81" s="15">
        <f>W81</f>
        <v/>
      </c>
      <c r="Y81" s="16">
        <f>X81</f>
        <v/>
      </c>
      <c r="Z81" s="39" t="n">
        <v>70</v>
      </c>
      <c r="AA81" s="12">
        <f>MIN(100,$C81*Z81)</f>
        <v/>
      </c>
      <c r="AB81" s="15">
        <f>AA81</f>
        <v/>
      </c>
      <c r="AC81" s="16">
        <f>AB81</f>
        <v/>
      </c>
    </row>
    <row r="82" customFormat="1" s="39">
      <c r="A82" s="30">
        <f>'2_MechAdd_Script'!A82</f>
        <v/>
      </c>
      <c r="B82" t="inlineStr">
        <is>
          <t>Moss_Depth</t>
        </is>
      </c>
      <c r="C82" s="4" t="n"/>
      <c r="D82" s="8" t="n"/>
      <c r="E82" s="31" t="n"/>
      <c r="G82" s="12">
        <f>F82</f>
        <v/>
      </c>
      <c r="H82" s="15">
        <f>G82</f>
        <v/>
      </c>
      <c r="I82" s="16">
        <f>H82</f>
        <v/>
      </c>
      <c r="K82" s="12">
        <f>J82</f>
        <v/>
      </c>
      <c r="L82" s="15">
        <f>K82</f>
        <v/>
      </c>
      <c r="M82" s="16">
        <f>L82</f>
        <v/>
      </c>
      <c r="O82" s="12">
        <f>N82</f>
        <v/>
      </c>
      <c r="P82" s="15">
        <f>O82</f>
        <v/>
      </c>
      <c r="Q82" s="16">
        <f>P82</f>
        <v/>
      </c>
      <c r="R82" s="39" t="n">
        <v>2.5</v>
      </c>
      <c r="S82" s="12">
        <f>R82</f>
        <v/>
      </c>
      <c r="T82" s="15">
        <f>S82</f>
        <v/>
      </c>
      <c r="U82" s="16">
        <f>T82</f>
        <v/>
      </c>
      <c r="V82" s="39" t="n">
        <v>1</v>
      </c>
      <c r="W82" s="12">
        <f>V82</f>
        <v/>
      </c>
      <c r="X82" s="15">
        <f>W82</f>
        <v/>
      </c>
      <c r="Y82" s="16">
        <f>X82</f>
        <v/>
      </c>
      <c r="AA82" s="12">
        <f>Z82</f>
        <v/>
      </c>
      <c r="AB82" s="15">
        <f>AA82</f>
        <v/>
      </c>
      <c r="AC82" s="16">
        <f>AB82</f>
        <v/>
      </c>
    </row>
    <row r="83" customFormat="1" s="39">
      <c r="A83" s="30">
        <f>'2_MechAdd_Script'!A83</f>
        <v/>
      </c>
      <c r="B83" t="inlineStr">
        <is>
          <t>Moss_Cover</t>
        </is>
      </c>
      <c r="C83" s="4" t="n"/>
      <c r="D83" s="8" t="n"/>
      <c r="E83" s="31" t="n"/>
      <c r="G83" s="12">
        <f>F83</f>
        <v/>
      </c>
      <c r="H83" s="15">
        <f>G83</f>
        <v/>
      </c>
      <c r="I83" s="16">
        <f>H83</f>
        <v/>
      </c>
      <c r="K83" s="12">
        <f>J83</f>
        <v/>
      </c>
      <c r="L83" s="15">
        <f>K83</f>
        <v/>
      </c>
      <c r="M83" s="16">
        <f>L83</f>
        <v/>
      </c>
      <c r="O83" s="12">
        <f>N83</f>
        <v/>
      </c>
      <c r="P83" s="15">
        <f>O83</f>
        <v/>
      </c>
      <c r="Q83" s="16">
        <f>P83</f>
        <v/>
      </c>
      <c r="R83" s="39" t="n">
        <v>80</v>
      </c>
      <c r="S83" s="12">
        <f>R83</f>
        <v/>
      </c>
      <c r="T83" s="15">
        <f>S83</f>
        <v/>
      </c>
      <c r="U83" s="16">
        <f>T83</f>
        <v/>
      </c>
      <c r="V83" s="39" t="n">
        <v>5</v>
      </c>
      <c r="W83" s="12">
        <f>V83</f>
        <v/>
      </c>
      <c r="X83" s="15">
        <f>W83</f>
        <v/>
      </c>
      <c r="Y83" s="16">
        <f>X83</f>
        <v/>
      </c>
      <c r="AA83" s="12">
        <f>Z83</f>
        <v/>
      </c>
      <c r="AB83" s="15">
        <f>AA83</f>
        <v/>
      </c>
      <c r="AC83" s="16">
        <f>AB83</f>
        <v/>
      </c>
    </row>
    <row r="84" customFormat="1" s="39">
      <c r="A84" s="30">
        <f>'2_MechAdd_Script'!A84</f>
        <v/>
      </c>
      <c r="B84" t="inlineStr">
        <is>
          <t>LowerDuff_Depth</t>
        </is>
      </c>
      <c r="C84" s="4" t="n"/>
      <c r="D84" s="8" t="n"/>
      <c r="E84" s="31" t="n"/>
      <c r="G84" s="12">
        <f>F84</f>
        <v/>
      </c>
      <c r="H84" s="15">
        <f>G84</f>
        <v/>
      </c>
      <c r="I84" s="16">
        <f>H84</f>
        <v/>
      </c>
      <c r="J84" s="39" t="n">
        <v>0.2</v>
      </c>
      <c r="K84" s="12">
        <f>J84</f>
        <v/>
      </c>
      <c r="L84" s="15">
        <f>K84</f>
        <v/>
      </c>
      <c r="M84" s="16">
        <f>L84</f>
        <v/>
      </c>
      <c r="O84" s="12">
        <f>N84</f>
        <v/>
      </c>
      <c r="P84" s="15">
        <f>O84</f>
        <v/>
      </c>
      <c r="Q84" s="16">
        <f>P84</f>
        <v/>
      </c>
      <c r="R84" s="39" t="n">
        <v>2</v>
      </c>
      <c r="S84" s="12">
        <f>R84</f>
        <v/>
      </c>
      <c r="T84" s="15">
        <f>S84</f>
        <v/>
      </c>
      <c r="U84" s="16">
        <f>T84</f>
        <v/>
      </c>
      <c r="W84" s="12">
        <f>V84</f>
        <v/>
      </c>
      <c r="X84" s="15">
        <f>W84</f>
        <v/>
      </c>
      <c r="Y84" s="16">
        <f>X84</f>
        <v/>
      </c>
      <c r="AA84" s="12">
        <f>Z84</f>
        <v/>
      </c>
      <c r="AB84" s="15">
        <f>AA84</f>
        <v/>
      </c>
      <c r="AC84" s="16">
        <f>AB84</f>
        <v/>
      </c>
    </row>
    <row r="85" customFormat="1" s="39">
      <c r="A85" s="30">
        <f>'2_MechAdd_Script'!A85</f>
        <v/>
      </c>
      <c r="B85" t="inlineStr">
        <is>
          <t>LowerDuff_Cover</t>
        </is>
      </c>
      <c r="C85" s="4" t="n"/>
      <c r="D85" s="8" t="n"/>
      <c r="E85" s="31" t="n"/>
      <c r="G85" s="12">
        <f>F85</f>
        <v/>
      </c>
      <c r="H85" s="15">
        <f>G85</f>
        <v/>
      </c>
      <c r="I85" s="16">
        <f>H85</f>
        <v/>
      </c>
      <c r="J85" s="39" t="n">
        <v>60</v>
      </c>
      <c r="K85" s="12">
        <f>J85</f>
        <v/>
      </c>
      <c r="L85" s="15">
        <f>K85</f>
        <v/>
      </c>
      <c r="M85" s="16">
        <f>L85</f>
        <v/>
      </c>
      <c r="O85" s="12">
        <f>N85</f>
        <v/>
      </c>
      <c r="P85" s="15">
        <f>O85</f>
        <v/>
      </c>
      <c r="Q85" s="16">
        <f>P85</f>
        <v/>
      </c>
      <c r="R85" s="39" t="n">
        <v>90</v>
      </c>
      <c r="S85" s="12">
        <f>R85</f>
        <v/>
      </c>
      <c r="T85" s="15">
        <f>S85</f>
        <v/>
      </c>
      <c r="U85" s="16">
        <f>T85</f>
        <v/>
      </c>
      <c r="W85" s="12">
        <f>V85</f>
        <v/>
      </c>
      <c r="X85" s="15">
        <f>W85</f>
        <v/>
      </c>
      <c r="Y85" s="16">
        <f>X85</f>
        <v/>
      </c>
      <c r="AA85" s="12">
        <f>Z85</f>
        <v/>
      </c>
      <c r="AB85" s="15">
        <f>AA85</f>
        <v/>
      </c>
      <c r="AC85" s="16">
        <f>AB85</f>
        <v/>
      </c>
    </row>
    <row r="86" customFormat="1" s="39">
      <c r="A86" s="30">
        <f>'2_MechAdd_Script'!A86</f>
        <v/>
      </c>
      <c r="B86" t="inlineStr">
        <is>
          <t>UpperDuff_Depth</t>
        </is>
      </c>
      <c r="C86" s="4" t="n"/>
      <c r="D86" s="8" t="n"/>
      <c r="E86" s="31" t="n">
        <v>1.2</v>
      </c>
      <c r="F86" s="39" t="n">
        <v>0.5</v>
      </c>
      <c r="G86" s="12">
        <f>F86</f>
        <v/>
      </c>
      <c r="H86" s="15">
        <f>G86</f>
        <v/>
      </c>
      <c r="I86" s="16">
        <f>$E86*H86</f>
        <v/>
      </c>
      <c r="J86" s="39" t="n">
        <v>0.4</v>
      </c>
      <c r="K86" s="12">
        <f>J86</f>
        <v/>
      </c>
      <c r="L86" s="15">
        <f>K86</f>
        <v/>
      </c>
      <c r="M86" s="16">
        <f>$E86*L86</f>
        <v/>
      </c>
      <c r="N86" s="39" t="n">
        <v>0.2</v>
      </c>
      <c r="O86" s="12">
        <f>N86</f>
        <v/>
      </c>
      <c r="P86" s="15">
        <f>O86</f>
        <v/>
      </c>
      <c r="Q86" s="16">
        <f>$E86*P86</f>
        <v/>
      </c>
      <c r="R86" s="39" t="n">
        <v>4</v>
      </c>
      <c r="S86" s="12">
        <f>R86</f>
        <v/>
      </c>
      <c r="T86" s="15">
        <f>S86</f>
        <v/>
      </c>
      <c r="U86" s="16">
        <f>$E86*T86</f>
        <v/>
      </c>
      <c r="V86" s="39" t="n">
        <v>1</v>
      </c>
      <c r="W86" s="12">
        <f>V86</f>
        <v/>
      </c>
      <c r="X86" s="15">
        <f>W86</f>
        <v/>
      </c>
      <c r="Y86" s="16">
        <f>$E86*X86</f>
        <v/>
      </c>
      <c r="Z86" s="39" t="n">
        <v>1.5</v>
      </c>
      <c r="AA86" s="12">
        <f>Z86</f>
        <v/>
      </c>
      <c r="AB86" s="15">
        <f>AA86</f>
        <v/>
      </c>
      <c r="AC86" s="16">
        <f>$E86*AB86</f>
        <v/>
      </c>
    </row>
    <row r="87" customFormat="1" s="39">
      <c r="A87" s="30">
        <f>'2_MechAdd_Script'!A87</f>
        <v/>
      </c>
      <c r="B87" t="inlineStr">
        <is>
          <t>UpperDuff_Cover</t>
        </is>
      </c>
      <c r="C87" s="4" t="n"/>
      <c r="D87" s="8" t="n"/>
      <c r="E87" s="31" t="n">
        <v>1.2</v>
      </c>
      <c r="F87" s="39" t="n">
        <v>70</v>
      </c>
      <c r="G87" s="12">
        <f>F87</f>
        <v/>
      </c>
      <c r="H87" s="15">
        <f>G87</f>
        <v/>
      </c>
      <c r="I87" s="16">
        <f>MIN(100,$E87*H87)</f>
        <v/>
      </c>
      <c r="J87" s="39" t="n">
        <v>60</v>
      </c>
      <c r="K87" s="12">
        <f>J87</f>
        <v/>
      </c>
      <c r="L87" s="15">
        <f>K87</f>
        <v/>
      </c>
      <c r="M87" s="16">
        <f>MIN(100,$E87*L87)</f>
        <v/>
      </c>
      <c r="N87" s="39" t="n">
        <v>70</v>
      </c>
      <c r="O87" s="12">
        <f>N87</f>
        <v/>
      </c>
      <c r="P87" s="15">
        <f>O87</f>
        <v/>
      </c>
      <c r="Q87" s="16">
        <f>MIN(100,$E87*P87)</f>
        <v/>
      </c>
      <c r="R87" s="39" t="n">
        <v>100</v>
      </c>
      <c r="S87" s="12">
        <f>R87</f>
        <v/>
      </c>
      <c r="T87" s="15">
        <f>S87</f>
        <v/>
      </c>
      <c r="U87" s="16">
        <f>MIN(100,$E87*T87)</f>
        <v/>
      </c>
      <c r="V87" s="39" t="n">
        <v>90</v>
      </c>
      <c r="W87" s="12">
        <f>V87</f>
        <v/>
      </c>
      <c r="X87" s="15">
        <f>W87</f>
        <v/>
      </c>
      <c r="Y87" s="16">
        <f>MIN(100,$E87*X87)</f>
        <v/>
      </c>
      <c r="Z87" s="39" t="n">
        <v>70</v>
      </c>
      <c r="AA87" s="12">
        <f>Z87</f>
        <v/>
      </c>
      <c r="AB87" s="15">
        <f>AA87</f>
        <v/>
      </c>
      <c r="AC87" s="16">
        <f>MIN(100,$E87*AB87)</f>
        <v/>
      </c>
    </row>
    <row r="88" customFormat="1" s="39">
      <c r="A88" s="30">
        <f>'2_MechAdd_Script'!A88</f>
        <v/>
      </c>
      <c r="B88" t="inlineStr">
        <is>
          <t>BasalAccum_Depth</t>
        </is>
      </c>
      <c r="C88" s="4" t="n"/>
      <c r="D88" s="8" t="n"/>
      <c r="E88" s="31" t="n"/>
      <c r="G88" s="12">
        <f>F88</f>
        <v/>
      </c>
      <c r="H88" s="15">
        <f>G88</f>
        <v/>
      </c>
      <c r="I88" s="16">
        <f>H88</f>
        <v/>
      </c>
      <c r="K88" s="12">
        <f>J88</f>
        <v/>
      </c>
      <c r="L88" s="15">
        <f>K88</f>
        <v/>
      </c>
      <c r="M88" s="16">
        <f>L88</f>
        <v/>
      </c>
      <c r="O88" s="12">
        <f>N88</f>
        <v/>
      </c>
      <c r="P88" s="15">
        <f>O88</f>
        <v/>
      </c>
      <c r="Q88" s="16">
        <f>P88</f>
        <v/>
      </c>
      <c r="S88" s="12">
        <f>R88</f>
        <v/>
      </c>
      <c r="T88" s="15">
        <f>S88</f>
        <v/>
      </c>
      <c r="U88" s="16">
        <f>T88</f>
        <v/>
      </c>
      <c r="W88" s="12">
        <f>V88</f>
        <v/>
      </c>
      <c r="X88" s="15">
        <f>W88</f>
        <v/>
      </c>
      <c r="Y88" s="16">
        <f>X88</f>
        <v/>
      </c>
      <c r="AA88" s="12">
        <f>Z88</f>
        <v/>
      </c>
      <c r="AB88" s="15">
        <f>AA88</f>
        <v/>
      </c>
      <c r="AC88" s="16">
        <f>AB88</f>
        <v/>
      </c>
    </row>
    <row r="89" customFormat="1" s="39">
      <c r="A89" s="30">
        <f>'2_MechAdd_Script'!A89</f>
        <v/>
      </c>
      <c r="B89" t="inlineStr">
        <is>
          <t>BasalAccum_Density</t>
        </is>
      </c>
      <c r="C89" s="4" t="n"/>
      <c r="D89" s="8" t="n"/>
      <c r="E89" s="31" t="n"/>
      <c r="G89" s="12">
        <f>F89</f>
        <v/>
      </c>
      <c r="H89" s="15">
        <f>G89</f>
        <v/>
      </c>
      <c r="I89" s="16">
        <f>H89</f>
        <v/>
      </c>
      <c r="K89" s="12">
        <f>J89</f>
        <v/>
      </c>
      <c r="L89" s="15">
        <f>K89</f>
        <v/>
      </c>
      <c r="M89" s="16">
        <f>L89</f>
        <v/>
      </c>
      <c r="O89" s="12">
        <f>N89</f>
        <v/>
      </c>
      <c r="P89" s="15">
        <f>O89</f>
        <v/>
      </c>
      <c r="Q89" s="16">
        <f>P89</f>
        <v/>
      </c>
      <c r="S89" s="12">
        <f>R89</f>
        <v/>
      </c>
      <c r="T89" s="15">
        <f>S89</f>
        <v/>
      </c>
      <c r="U89" s="16">
        <f>T89</f>
        <v/>
      </c>
      <c r="W89" s="12">
        <f>V89</f>
        <v/>
      </c>
      <c r="X89" s="15">
        <f>W89</f>
        <v/>
      </c>
      <c r="Y89" s="16">
        <f>X89</f>
        <v/>
      </c>
      <c r="AA89" s="12">
        <f>Z89</f>
        <v/>
      </c>
      <c r="AB89" s="15">
        <f>AA89</f>
        <v/>
      </c>
      <c r="AC89" s="16">
        <f>AB89</f>
        <v/>
      </c>
    </row>
    <row r="90" customFormat="1" s="39">
      <c r="A90" s="30">
        <f>'2_MechAdd_Script'!A90</f>
        <v/>
      </c>
      <c r="B90" t="inlineStr">
        <is>
          <t>BasalAccum_Radius</t>
        </is>
      </c>
      <c r="C90" s="4" t="n"/>
      <c r="D90" s="8" t="n"/>
      <c r="E90" s="31"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39">
      <c r="A91" s="30">
        <f>'2_MechAdd_Script'!A91</f>
        <v/>
      </c>
      <c r="B91" t="inlineStr">
        <is>
          <t>SquirrelMid_Depth</t>
        </is>
      </c>
      <c r="C91" s="4" t="n"/>
      <c r="D91" s="8" t="n"/>
      <c r="E91" s="31" t="n"/>
      <c r="G91" s="12">
        <f>F91</f>
        <v/>
      </c>
      <c r="H91" s="15">
        <f>G91</f>
        <v/>
      </c>
      <c r="I91" s="16">
        <f>H91</f>
        <v/>
      </c>
      <c r="K91" s="12">
        <f>J91</f>
        <v/>
      </c>
      <c r="L91" s="15">
        <f>K91</f>
        <v/>
      </c>
      <c r="M91" s="16">
        <f>L91</f>
        <v/>
      </c>
      <c r="O91" s="12">
        <f>N91</f>
        <v/>
      </c>
      <c r="P91" s="15">
        <f>O91</f>
        <v/>
      </c>
      <c r="Q91" s="16">
        <f>P91</f>
        <v/>
      </c>
      <c r="R91" s="39" t="n">
        <v>18</v>
      </c>
      <c r="S91" s="12">
        <f>R91</f>
        <v/>
      </c>
      <c r="T91" s="15">
        <f>S91</f>
        <v/>
      </c>
      <c r="U91" s="16">
        <f>T91</f>
        <v/>
      </c>
      <c r="W91" s="12">
        <f>V91</f>
        <v/>
      </c>
      <c r="X91" s="15">
        <f>W91</f>
        <v/>
      </c>
      <c r="Y91" s="16">
        <f>X91</f>
        <v/>
      </c>
      <c r="AA91" s="12">
        <f>Z91</f>
        <v/>
      </c>
      <c r="AB91" s="15">
        <f>AA91</f>
        <v/>
      </c>
      <c r="AC91" s="16">
        <f>AB91</f>
        <v/>
      </c>
    </row>
    <row r="92" customFormat="1" s="39">
      <c r="A92" s="30">
        <f>'2_MechAdd_Script'!A92</f>
        <v/>
      </c>
      <c r="B92" t="inlineStr">
        <is>
          <t>SquirrelMid_Density</t>
        </is>
      </c>
      <c r="C92" s="4" t="n"/>
      <c r="D92" s="8" t="n"/>
      <c r="E92" s="31" t="n"/>
      <c r="G92" s="12">
        <f>F92</f>
        <v/>
      </c>
      <c r="H92" s="15">
        <f>G92</f>
        <v/>
      </c>
      <c r="I92" s="16">
        <f>H92</f>
        <v/>
      </c>
      <c r="K92" s="12">
        <f>J92</f>
        <v/>
      </c>
      <c r="L92" s="15">
        <f>K92</f>
        <v/>
      </c>
      <c r="M92" s="16">
        <f>L92</f>
        <v/>
      </c>
      <c r="O92" s="12">
        <f>N92</f>
        <v/>
      </c>
      <c r="P92" s="15">
        <f>O92</f>
        <v/>
      </c>
      <c r="Q92" s="16">
        <f>P92</f>
        <v/>
      </c>
      <c r="R92" s="39" t="n">
        <v>1</v>
      </c>
      <c r="S92" s="12">
        <f>R92</f>
        <v/>
      </c>
      <c r="T92" s="15">
        <f>S92</f>
        <v/>
      </c>
      <c r="U92" s="16">
        <f>T92</f>
        <v/>
      </c>
      <c r="W92" s="12">
        <f>V92</f>
        <v/>
      </c>
      <c r="X92" s="15">
        <f>W92</f>
        <v/>
      </c>
      <c r="Y92" s="16">
        <f>X92</f>
        <v/>
      </c>
      <c r="AA92" s="12">
        <f>Z92</f>
        <v/>
      </c>
      <c r="AB92" s="15">
        <f>AA92</f>
        <v/>
      </c>
      <c r="AC92" s="16">
        <f>AB92</f>
        <v/>
      </c>
    </row>
    <row r="93" customFormat="1" s="39">
      <c r="A93" s="30">
        <f>'2_MechAdd_Script'!A93</f>
        <v/>
      </c>
      <c r="B93" t="inlineStr">
        <is>
          <t>SquirrelMid_Radius</t>
        </is>
      </c>
      <c r="C93" s="4" t="n"/>
      <c r="D93" s="8" t="n"/>
      <c r="E93" s="31" t="n"/>
      <c r="G93" s="12">
        <f>F93</f>
        <v/>
      </c>
      <c r="H93" s="15">
        <f>G93</f>
        <v/>
      </c>
      <c r="I93" s="16">
        <f>H93</f>
        <v/>
      </c>
      <c r="K93" s="12">
        <f>J93</f>
        <v/>
      </c>
      <c r="L93" s="15">
        <f>K93</f>
        <v/>
      </c>
      <c r="M93" s="16">
        <f>L93</f>
        <v/>
      </c>
      <c r="O93" s="12">
        <f>N93</f>
        <v/>
      </c>
      <c r="P93" s="15">
        <f>O93</f>
        <v/>
      </c>
      <c r="Q93" s="16">
        <f>P93</f>
        <v/>
      </c>
      <c r="R93" s="39"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C93"/>
  <sheetViews>
    <sheetView topLeftCell="A10" zoomScale="75" zoomScaleNormal="75" workbookViewId="0">
      <selection activeCell="D26" sqref="D26"/>
    </sheetView>
  </sheetViews>
  <sheetFormatPr baseColWidth="8" defaultRowHeight="15"/>
  <cols>
    <col width="131.140625" bestFit="1" customWidth="1" style="35" min="1" max="1"/>
    <col width="27.42578125" bestFit="1" customWidth="1" style="35" min="2" max="2"/>
    <col width="26.85546875" bestFit="1" customWidth="1" style="35" min="3" max="3"/>
    <col width="22" bestFit="1" customWidth="1" style="35" min="4" max="5"/>
    <col width="14" bestFit="1" customWidth="1" style="35" min="6" max="6"/>
    <col width="18.5703125" bestFit="1" customWidth="1" style="35" min="7" max="9"/>
    <col width="14" bestFit="1" customWidth="1" style="35" min="10" max="10"/>
    <col width="18.5703125" bestFit="1" customWidth="1" style="35" min="11" max="13"/>
    <col width="14" bestFit="1" customWidth="1" style="35" min="14" max="14"/>
    <col width="18.5703125" bestFit="1" customWidth="1" style="35" min="15" max="17"/>
    <col width="14" bestFit="1" customWidth="1" style="35" min="18" max="18"/>
    <col width="18.5703125" bestFit="1" customWidth="1" style="35" min="19" max="21"/>
    <col width="14" bestFit="1" customWidth="1" style="35" min="22" max="22"/>
    <col width="18.5703125" bestFit="1" customWidth="1" style="35" min="23" max="25"/>
    <col width="14" bestFit="1" customWidth="1" style="35" min="26" max="26"/>
    <col width="18.5703125" bestFit="1" customWidth="1" style="35" min="27" max="29"/>
  </cols>
  <sheetData>
    <row r="1" customFormat="1" s="13">
      <c r="A1" s="14" t="inlineStr">
        <is>
          <t>Variable</t>
        </is>
      </c>
      <c r="B1" s="1" t="inlineStr">
        <is>
          <t>Suggested Short Name</t>
        </is>
      </c>
      <c r="C1" s="14" t="inlineStr">
        <is>
          <t>High Time Step 1 (231) Rules</t>
        </is>
      </c>
      <c r="D1" s="2" t="inlineStr">
        <is>
          <t>Time Step 2 (232) Rules</t>
        </is>
      </c>
      <c r="E1" s="3" t="inlineStr">
        <is>
          <t>Time Step 3 (233) Rules</t>
        </is>
      </c>
      <c r="F1" s="13" t="inlineStr">
        <is>
          <t>FB_0029_FCCS</t>
        </is>
      </c>
      <c r="G1" t="inlineStr">
        <is>
          <t>FB_0029_FCCS_231</t>
        </is>
      </c>
      <c r="H1" t="inlineStr">
        <is>
          <t>FB_0029_FCCS_232</t>
        </is>
      </c>
      <c r="I1" t="inlineStr">
        <is>
          <t>FB_0029_FCCS_233</t>
        </is>
      </c>
      <c r="J1" t="inlineStr">
        <is>
          <t>FB_0046_FCCS</t>
        </is>
      </c>
      <c r="K1" t="inlineStr">
        <is>
          <t>FB_0046_FCCS_231</t>
        </is>
      </c>
      <c r="L1" t="inlineStr">
        <is>
          <t>FB_0046_FCCS_232</t>
        </is>
      </c>
      <c r="M1" t="inlineStr">
        <is>
          <t>FB_0046_FCCS_233</t>
        </is>
      </c>
      <c r="N1" t="inlineStr">
        <is>
          <t>FB_0066_FCCS</t>
        </is>
      </c>
      <c r="O1" t="inlineStr">
        <is>
          <t>FB_0066_FCCS_231</t>
        </is>
      </c>
      <c r="P1" t="inlineStr">
        <is>
          <t>FB_0066_FCCS_232</t>
        </is>
      </c>
      <c r="Q1" t="inlineStr">
        <is>
          <t>FB_0066_FCCS_233</t>
        </is>
      </c>
      <c r="R1" t="inlineStr">
        <is>
          <t>FB_0087_FCCS</t>
        </is>
      </c>
      <c r="S1" t="inlineStr">
        <is>
          <t>FB_0087_FCCS_231</t>
        </is>
      </c>
      <c r="T1" t="inlineStr">
        <is>
          <t>FB_0087_FCCS_232</t>
        </is>
      </c>
      <c r="U1" t="inlineStr">
        <is>
          <t>FB_0087_FCCS_233</t>
        </is>
      </c>
      <c r="V1" t="inlineStr">
        <is>
          <t>FB_0109_FCCS</t>
        </is>
      </c>
      <c r="W1" t="inlineStr">
        <is>
          <t>FB_0109_FCCS_231</t>
        </is>
      </c>
      <c r="X1" t="inlineStr">
        <is>
          <t>FB_0109_FCCS_232</t>
        </is>
      </c>
      <c r="Y1" t="inlineStr">
        <is>
          <t>FB_0109_FCCS_233</t>
        </is>
      </c>
      <c r="Z1" t="inlineStr">
        <is>
          <t>FB_0291_FCCS</t>
        </is>
      </c>
      <c r="AA1" t="inlineStr">
        <is>
          <t>FB_0291_FCCS_231</t>
        </is>
      </c>
      <c r="AB1" t="inlineStr">
        <is>
          <t>FB_0291_FCCS_232</t>
        </is>
      </c>
      <c r="AC1" t="inlineStr">
        <is>
          <t>FB_0291_FCCS_233</t>
        </is>
      </c>
    </row>
    <row r="2" customFormat="1" s="39">
      <c r="A2" s="34">
        <f>'2_MechAdd_Script'!A2</f>
        <v/>
      </c>
      <c r="B2" t="inlineStr">
        <is>
          <t>Canopy_TotalCover</t>
        </is>
      </c>
      <c r="C2" s="4" t="n">
        <v>0.33</v>
      </c>
      <c r="D2" s="5" t="n"/>
      <c r="E2" s="32" t="n"/>
      <c r="F2" s="39" t="n">
        <v>40</v>
      </c>
      <c r="G2" s="12">
        <f>$C2*F2</f>
        <v/>
      </c>
      <c r="H2" s="15">
        <f>G2</f>
        <v/>
      </c>
      <c r="I2" s="16">
        <f>H2</f>
        <v/>
      </c>
      <c r="K2" s="12">
        <f>$C2*J2</f>
        <v/>
      </c>
      <c r="L2" s="15">
        <f>K2</f>
        <v/>
      </c>
      <c r="M2" s="16">
        <f>L2</f>
        <v/>
      </c>
      <c r="O2" s="12">
        <f>$C2*N2</f>
        <v/>
      </c>
      <c r="P2" s="15">
        <f>O2</f>
        <v/>
      </c>
      <c r="Q2" s="16">
        <f>P2</f>
        <v/>
      </c>
      <c r="R2" s="39" t="n">
        <v>80</v>
      </c>
      <c r="S2" s="12">
        <f>$C2*R2</f>
        <v/>
      </c>
      <c r="T2" s="15">
        <f>S2</f>
        <v/>
      </c>
      <c r="U2" s="16">
        <f>T2</f>
        <v/>
      </c>
      <c r="V2" s="39" t="n">
        <v>85</v>
      </c>
      <c r="W2" s="12">
        <f>$C2*V2</f>
        <v/>
      </c>
      <c r="X2" s="15">
        <f>W2</f>
        <v/>
      </c>
      <c r="Y2" s="16">
        <f>X2</f>
        <v/>
      </c>
      <c r="Z2" s="39" t="n">
        <v>60</v>
      </c>
      <c r="AA2" s="12">
        <f>$C2*Z2</f>
        <v/>
      </c>
      <c r="AB2" s="15">
        <f>AA2</f>
        <v/>
      </c>
      <c r="AC2" s="16">
        <f>AB2</f>
        <v/>
      </c>
    </row>
    <row r="3" customFormat="1" s="39">
      <c r="A3" s="34">
        <f>'2_MechAdd_Script'!A3</f>
        <v/>
      </c>
      <c r="B3" t="inlineStr">
        <is>
          <t>OTree_Diameter</t>
        </is>
      </c>
      <c r="C3" s="4" t="n">
        <v>1.25</v>
      </c>
      <c r="D3" s="5" t="n"/>
      <c r="E3" s="32" t="n"/>
      <c r="F3" s="39" t="n">
        <v>9.6</v>
      </c>
      <c r="G3" s="12">
        <f>$C3*F3</f>
        <v/>
      </c>
      <c r="H3" s="15">
        <f>G3</f>
        <v/>
      </c>
      <c r="I3" s="16">
        <f>H3</f>
        <v/>
      </c>
      <c r="K3" s="12">
        <f>$C3*J3</f>
        <v/>
      </c>
      <c r="L3" s="15">
        <f>K3</f>
        <v/>
      </c>
      <c r="M3" s="16">
        <f>L3</f>
        <v/>
      </c>
      <c r="O3" s="12">
        <f>$C3*N3</f>
        <v/>
      </c>
      <c r="P3" s="15">
        <f>O3</f>
        <v/>
      </c>
      <c r="Q3" s="16">
        <f>P3</f>
        <v/>
      </c>
      <c r="R3" s="39" t="n">
        <v>2.9</v>
      </c>
      <c r="S3" s="12">
        <f>$C3*R3</f>
        <v/>
      </c>
      <c r="T3" s="15">
        <f>S3</f>
        <v/>
      </c>
      <c r="U3" s="16">
        <f>T3</f>
        <v/>
      </c>
      <c r="V3" s="39" t="n">
        <v>14</v>
      </c>
      <c r="W3" s="12">
        <f>$C3*V3</f>
        <v/>
      </c>
      <c r="X3" s="15">
        <f>W3</f>
        <v/>
      </c>
      <c r="Y3" s="16">
        <f>X3</f>
        <v/>
      </c>
      <c r="Z3" s="39" t="n">
        <v>12</v>
      </c>
      <c r="AA3" s="12">
        <f>$C3*Z3</f>
        <v/>
      </c>
      <c r="AB3" s="15">
        <f>AA3</f>
        <v/>
      </c>
      <c r="AC3" s="16">
        <f>AB3</f>
        <v/>
      </c>
    </row>
    <row r="4" customFormat="1" s="39">
      <c r="A4" s="34">
        <f>'2_MechAdd_Script'!A4</f>
        <v/>
      </c>
      <c r="B4" t="inlineStr">
        <is>
          <t>OTree_HeightLiveCrown</t>
        </is>
      </c>
      <c r="C4" s="4" t="n">
        <v>1.5</v>
      </c>
      <c r="D4" s="5" t="n"/>
      <c r="E4" s="32" t="n"/>
      <c r="F4" s="39" t="n">
        <v>20</v>
      </c>
      <c r="G4" s="12">
        <f>$C4*F4</f>
        <v/>
      </c>
      <c r="H4" s="15">
        <f>G4</f>
        <v/>
      </c>
      <c r="I4" s="16">
        <f>H4</f>
        <v/>
      </c>
      <c r="K4" s="12">
        <f>$C4*J4</f>
        <v/>
      </c>
      <c r="L4" s="15">
        <f>K4</f>
        <v/>
      </c>
      <c r="M4" s="16">
        <f>L4</f>
        <v/>
      </c>
      <c r="O4" s="12">
        <f>$C4*N4</f>
        <v/>
      </c>
      <c r="P4" s="15">
        <f>O4</f>
        <v/>
      </c>
      <c r="Q4" s="16">
        <f>P4</f>
        <v/>
      </c>
      <c r="R4" s="39" t="n">
        <v>4</v>
      </c>
      <c r="S4" s="12">
        <f>$C4*R4</f>
        <v/>
      </c>
      <c r="T4" s="15">
        <f>S4</f>
        <v/>
      </c>
      <c r="U4" s="16">
        <f>T4</f>
        <v/>
      </c>
      <c r="V4" s="39" t="n">
        <v>20</v>
      </c>
      <c r="W4" s="12">
        <f>$C4*V4</f>
        <v/>
      </c>
      <c r="X4" s="15">
        <f>W4</f>
        <v/>
      </c>
      <c r="Y4" s="16">
        <f>X4</f>
        <v/>
      </c>
      <c r="Z4" s="39" t="n">
        <v>55</v>
      </c>
      <c r="AA4" s="12">
        <f>$C4*Z4</f>
        <v/>
      </c>
      <c r="AB4" s="15">
        <f>AA4</f>
        <v/>
      </c>
      <c r="AC4" s="16">
        <f>AB4</f>
        <v/>
      </c>
    </row>
    <row r="5" customFormat="1" s="39">
      <c r="A5" s="34">
        <f>'2_MechAdd_Script'!A5</f>
        <v/>
      </c>
      <c r="B5" t="inlineStr">
        <is>
          <t>OTree_Height</t>
        </is>
      </c>
      <c r="C5" s="4" t="n"/>
      <c r="D5" s="5" t="n"/>
      <c r="E5" s="32" t="n"/>
      <c r="F5" s="39" t="n">
        <v>100</v>
      </c>
      <c r="G5" s="12">
        <f>F5</f>
        <v/>
      </c>
      <c r="H5" s="15">
        <f>G5</f>
        <v/>
      </c>
      <c r="I5" s="16">
        <f>H5</f>
        <v/>
      </c>
      <c r="K5" s="12">
        <f>J5</f>
        <v/>
      </c>
      <c r="L5" s="15">
        <f>K5</f>
        <v/>
      </c>
      <c r="M5" s="16">
        <f>L5</f>
        <v/>
      </c>
      <c r="O5" s="12">
        <f>N5</f>
        <v/>
      </c>
      <c r="P5" s="15">
        <f>O5</f>
        <v/>
      </c>
      <c r="Q5" s="16">
        <f>P5</f>
        <v/>
      </c>
      <c r="R5" s="39" t="n">
        <v>25</v>
      </c>
      <c r="S5" s="12">
        <f>R5</f>
        <v/>
      </c>
      <c r="T5" s="15">
        <f>S5</f>
        <v/>
      </c>
      <c r="U5" s="16">
        <f>T5</f>
        <v/>
      </c>
      <c r="V5" s="39" t="n">
        <v>60</v>
      </c>
      <c r="W5" s="12">
        <f>V5</f>
        <v/>
      </c>
      <c r="X5" s="15">
        <f>W5</f>
        <v/>
      </c>
      <c r="Y5" s="16">
        <f>X5</f>
        <v/>
      </c>
      <c r="Z5" s="39" t="n">
        <v>78</v>
      </c>
      <c r="AA5" s="12">
        <f>Z5</f>
        <v/>
      </c>
      <c r="AB5" s="15">
        <f>AA5</f>
        <v/>
      </c>
      <c r="AC5" s="16">
        <f>AB5</f>
        <v/>
      </c>
    </row>
    <row r="6" customFormat="1" s="39">
      <c r="A6" s="34">
        <f>'2_MechAdd_Script'!A6</f>
        <v/>
      </c>
      <c r="B6" t="inlineStr">
        <is>
          <t>OTree_Cover</t>
        </is>
      </c>
      <c r="C6" s="4" t="n">
        <v>0.25</v>
      </c>
      <c r="D6" s="5" t="n"/>
      <c r="E6" s="32" t="n"/>
      <c r="F6" s="39" t="n">
        <v>40</v>
      </c>
      <c r="G6" s="12">
        <f>$C6*F6</f>
        <v/>
      </c>
      <c r="H6" s="15">
        <f>G6</f>
        <v/>
      </c>
      <c r="I6" s="16">
        <f>H6</f>
        <v/>
      </c>
      <c r="K6" s="12">
        <f>$C6*J6</f>
        <v/>
      </c>
      <c r="L6" s="15">
        <f>K6</f>
        <v/>
      </c>
      <c r="M6" s="16">
        <f>L6</f>
        <v/>
      </c>
      <c r="O6" s="12">
        <f>$C6*N6</f>
        <v/>
      </c>
      <c r="P6" s="15">
        <f>O6</f>
        <v/>
      </c>
      <c r="Q6" s="16">
        <f>P6</f>
        <v/>
      </c>
      <c r="R6" s="39" t="n">
        <v>80</v>
      </c>
      <c r="S6" s="12">
        <f>$C6*R6</f>
        <v/>
      </c>
      <c r="T6" s="15">
        <f>S6</f>
        <v/>
      </c>
      <c r="U6" s="16">
        <f>T6</f>
        <v/>
      </c>
      <c r="V6" s="39" t="n">
        <v>50</v>
      </c>
      <c r="W6" s="12">
        <f>$C6*V6</f>
        <v/>
      </c>
      <c r="X6" s="15">
        <f>W6</f>
        <v/>
      </c>
      <c r="Y6" s="16">
        <f>X6</f>
        <v/>
      </c>
      <c r="Z6" s="39" t="n">
        <v>50</v>
      </c>
      <c r="AA6" s="12">
        <f>$C6*Z6</f>
        <v/>
      </c>
      <c r="AB6" s="15">
        <f>AA6</f>
        <v/>
      </c>
      <c r="AC6" s="16">
        <f>AB6</f>
        <v/>
      </c>
    </row>
    <row r="7" customFormat="1" s="39">
      <c r="A7" s="34">
        <f>'2_MechAdd_Script'!A7</f>
        <v/>
      </c>
      <c r="B7" t="inlineStr">
        <is>
          <t>OTree_Density</t>
        </is>
      </c>
      <c r="C7" s="4" t="n">
        <v>0.25</v>
      </c>
      <c r="D7" s="5" t="n"/>
      <c r="E7" s="32" t="n"/>
      <c r="F7" s="39" t="n">
        <v>12</v>
      </c>
      <c r="G7" s="12">
        <f>$C7*F7</f>
        <v/>
      </c>
      <c r="H7" s="15">
        <f>G7</f>
        <v/>
      </c>
      <c r="I7" s="16">
        <f>H7</f>
        <v/>
      </c>
      <c r="K7" s="12">
        <f>$C7*J7</f>
        <v/>
      </c>
      <c r="L7" s="15">
        <f>K7</f>
        <v/>
      </c>
      <c r="M7" s="16">
        <f>L7</f>
        <v/>
      </c>
      <c r="O7" s="12">
        <f>$C7*N7</f>
        <v/>
      </c>
      <c r="P7" s="15">
        <f>O7</f>
        <v/>
      </c>
      <c r="Q7" s="16">
        <f>P7</f>
        <v/>
      </c>
      <c r="R7" s="39" t="n">
        <v>3500</v>
      </c>
      <c r="S7" s="12">
        <f>$C7*R7</f>
        <v/>
      </c>
      <c r="T7" s="15">
        <f>S7</f>
        <v/>
      </c>
      <c r="U7" s="16">
        <f>T7</f>
        <v/>
      </c>
      <c r="V7" s="39" t="n">
        <v>45</v>
      </c>
      <c r="W7" s="12">
        <f>$C7*V7</f>
        <v/>
      </c>
      <c r="X7" s="15">
        <f>W7</f>
        <v/>
      </c>
      <c r="Y7" s="16">
        <f>X7</f>
        <v/>
      </c>
      <c r="Z7" s="39" t="n">
        <v>100</v>
      </c>
      <c r="AA7" s="12">
        <f>$C7*Z7</f>
        <v/>
      </c>
      <c r="AB7" s="15">
        <f>AA7</f>
        <v/>
      </c>
      <c r="AC7" s="16">
        <f>AB7</f>
        <v/>
      </c>
    </row>
    <row r="8" customFormat="1" s="39">
      <c r="A8" s="34">
        <f>'2_MechAdd_Script'!A8</f>
        <v/>
      </c>
      <c r="B8" t="inlineStr">
        <is>
          <t>MTree_Diameter</t>
        </is>
      </c>
      <c r="C8" s="4" t="n">
        <v>1.25</v>
      </c>
      <c r="D8" s="5" t="n"/>
      <c r="E8" s="32" t="n"/>
      <c r="G8" s="12">
        <f>$C8*F8</f>
        <v/>
      </c>
      <c r="H8" s="15">
        <f>G8</f>
        <v/>
      </c>
      <c r="I8" s="16">
        <f>H8</f>
        <v/>
      </c>
      <c r="K8" s="12">
        <f>$C8*J8</f>
        <v/>
      </c>
      <c r="L8" s="15">
        <f>K8</f>
        <v/>
      </c>
      <c r="M8" s="16">
        <f>L8</f>
        <v/>
      </c>
      <c r="O8" s="12">
        <f>$C8*N8</f>
        <v/>
      </c>
      <c r="P8" s="15">
        <f>O8</f>
        <v/>
      </c>
      <c r="Q8" s="16">
        <f>P8</f>
        <v/>
      </c>
      <c r="S8" s="12">
        <f>$C8*R8</f>
        <v/>
      </c>
      <c r="T8" s="15">
        <f>S8</f>
        <v/>
      </c>
      <c r="U8" s="16">
        <f>T8</f>
        <v/>
      </c>
      <c r="V8" s="39" t="n">
        <v>7.5</v>
      </c>
      <c r="W8" s="12">
        <f>$C8*V8</f>
        <v/>
      </c>
      <c r="X8" s="15">
        <f>W8</f>
        <v/>
      </c>
      <c r="Y8" s="16">
        <f>X8</f>
        <v/>
      </c>
      <c r="AA8" s="12">
        <f>$C8*Z8</f>
        <v/>
      </c>
      <c r="AB8" s="15">
        <f>AA8</f>
        <v/>
      </c>
      <c r="AC8" s="16">
        <f>AB8</f>
        <v/>
      </c>
    </row>
    <row r="9" customFormat="1" s="39">
      <c r="A9" s="34">
        <f>'2_MechAdd_Script'!A9</f>
        <v/>
      </c>
      <c r="B9" t="inlineStr">
        <is>
          <t>MTree_HeightLiveCrown</t>
        </is>
      </c>
      <c r="C9" s="4" t="n">
        <v>1.5</v>
      </c>
      <c r="D9" s="5" t="n"/>
      <c r="E9" s="32" t="n"/>
      <c r="G9" s="12">
        <f>$C9*F9</f>
        <v/>
      </c>
      <c r="H9" s="15">
        <f>G9</f>
        <v/>
      </c>
      <c r="I9" s="16">
        <f>H9</f>
        <v/>
      </c>
      <c r="K9" s="12">
        <f>$C9*J9</f>
        <v/>
      </c>
      <c r="L9" s="15">
        <f>K9</f>
        <v/>
      </c>
      <c r="M9" s="16">
        <f>L9</f>
        <v/>
      </c>
      <c r="O9" s="12">
        <f>$C9*N9</f>
        <v/>
      </c>
      <c r="P9" s="15">
        <f>O9</f>
        <v/>
      </c>
      <c r="Q9" s="16">
        <f>P9</f>
        <v/>
      </c>
      <c r="S9" s="12">
        <f>$C9*R9</f>
        <v/>
      </c>
      <c r="T9" s="15">
        <f>S9</f>
        <v/>
      </c>
      <c r="U9" s="16">
        <f>T9</f>
        <v/>
      </c>
      <c r="V9" s="39" t="n">
        <v>10</v>
      </c>
      <c r="W9" s="12">
        <f>$C9*V9</f>
        <v/>
      </c>
      <c r="X9" s="15">
        <f>W9</f>
        <v/>
      </c>
      <c r="Y9" s="16">
        <f>X9</f>
        <v/>
      </c>
      <c r="AA9" s="12">
        <f>$C9*Z9</f>
        <v/>
      </c>
      <c r="AB9" s="15">
        <f>AA9</f>
        <v/>
      </c>
      <c r="AC9" s="16">
        <f>AB9</f>
        <v/>
      </c>
    </row>
    <row r="10" customFormat="1" s="39">
      <c r="A10" s="34">
        <f>'2_MechAdd_Script'!A10</f>
        <v/>
      </c>
      <c r="B10" t="inlineStr">
        <is>
          <t>MTree_Height</t>
        </is>
      </c>
      <c r="C10" s="4" t="n"/>
      <c r="D10" s="5" t="n"/>
      <c r="E10" s="32" t="n"/>
      <c r="G10" s="12">
        <f>F10</f>
        <v/>
      </c>
      <c r="H10" s="15">
        <f>G10</f>
        <v/>
      </c>
      <c r="I10" s="16">
        <f>H10</f>
        <v/>
      </c>
      <c r="K10" s="12">
        <f>J10</f>
        <v/>
      </c>
      <c r="L10" s="15">
        <f>K10</f>
        <v/>
      </c>
      <c r="M10" s="16">
        <f>L10</f>
        <v/>
      </c>
      <c r="O10" s="12">
        <f>N10</f>
        <v/>
      </c>
      <c r="P10" s="15">
        <f>O10</f>
        <v/>
      </c>
      <c r="Q10" s="16">
        <f>P10</f>
        <v/>
      </c>
      <c r="S10" s="12">
        <f>R10</f>
        <v/>
      </c>
      <c r="T10" s="15">
        <f>S10</f>
        <v/>
      </c>
      <c r="U10" s="16">
        <f>T10</f>
        <v/>
      </c>
      <c r="V10" s="39" t="n">
        <v>44</v>
      </c>
      <c r="W10" s="12">
        <f>V10</f>
        <v/>
      </c>
      <c r="X10" s="15">
        <f>W10</f>
        <v/>
      </c>
      <c r="Y10" s="16">
        <f>X10</f>
        <v/>
      </c>
      <c r="AA10" s="12">
        <f>Z10</f>
        <v/>
      </c>
      <c r="AB10" s="15">
        <f>AA10</f>
        <v/>
      </c>
      <c r="AC10" s="16">
        <f>AB10</f>
        <v/>
      </c>
    </row>
    <row r="11" customFormat="1" s="39">
      <c r="A11" s="34">
        <f>'2_MechAdd_Script'!A11</f>
        <v/>
      </c>
      <c r="B11" t="inlineStr">
        <is>
          <t>MTree_Cover</t>
        </is>
      </c>
      <c r="C11" s="4" t="n">
        <v>0.25</v>
      </c>
      <c r="D11" s="5" t="n"/>
      <c r="E11" s="32" t="n"/>
      <c r="G11" s="12">
        <f>$C11*F11</f>
        <v/>
      </c>
      <c r="H11" s="15">
        <f>G11</f>
        <v/>
      </c>
      <c r="I11" s="16">
        <f>H11</f>
        <v/>
      </c>
      <c r="K11" s="12">
        <f>$C11*J11</f>
        <v/>
      </c>
      <c r="L11" s="15">
        <f>K11</f>
        <v/>
      </c>
      <c r="M11" s="16">
        <f>L11</f>
        <v/>
      </c>
      <c r="O11" s="12">
        <f>$C11*N11</f>
        <v/>
      </c>
      <c r="P11" s="15">
        <f>O11</f>
        <v/>
      </c>
      <c r="Q11" s="16">
        <f>P11</f>
        <v/>
      </c>
      <c r="S11" s="12">
        <f>$C11*R11</f>
        <v/>
      </c>
      <c r="T11" s="15">
        <f>S11</f>
        <v/>
      </c>
      <c r="U11" s="16">
        <f>T11</f>
        <v/>
      </c>
      <c r="V11" s="39" t="n">
        <v>50</v>
      </c>
      <c r="W11" s="12">
        <f>$C11*V11</f>
        <v/>
      </c>
      <c r="X11" s="15">
        <f>W11</f>
        <v/>
      </c>
      <c r="Y11" s="16">
        <f>X11</f>
        <v/>
      </c>
      <c r="AA11" s="12">
        <f>$C11*Z11</f>
        <v/>
      </c>
      <c r="AB11" s="15">
        <f>AA11</f>
        <v/>
      </c>
      <c r="AC11" s="16">
        <f>AB11</f>
        <v/>
      </c>
    </row>
    <row r="12" customFormat="1" s="39">
      <c r="A12" s="34">
        <f>'2_MechAdd_Script'!A12</f>
        <v/>
      </c>
      <c r="B12" t="inlineStr">
        <is>
          <t>MTree_Density</t>
        </is>
      </c>
      <c r="C12" s="4" t="n">
        <v>0.25</v>
      </c>
      <c r="D12" s="5" t="n"/>
      <c r="E12" s="32" t="n"/>
      <c r="G12" s="12">
        <f>$C12*F12</f>
        <v/>
      </c>
      <c r="H12" s="15">
        <f>G12</f>
        <v/>
      </c>
      <c r="I12" s="16">
        <f>H12</f>
        <v/>
      </c>
      <c r="K12" s="12">
        <f>$C12*J12</f>
        <v/>
      </c>
      <c r="L12" s="15">
        <f>K12</f>
        <v/>
      </c>
      <c r="M12" s="16">
        <f>L12</f>
        <v/>
      </c>
      <c r="O12" s="12">
        <f>$C12*N12</f>
        <v/>
      </c>
      <c r="P12" s="15">
        <f>O12</f>
        <v/>
      </c>
      <c r="Q12" s="16">
        <f>P12</f>
        <v/>
      </c>
      <c r="S12" s="12">
        <f>$C12*R12</f>
        <v/>
      </c>
      <c r="T12" s="15">
        <f>S12</f>
        <v/>
      </c>
      <c r="U12" s="16">
        <f>T12</f>
        <v/>
      </c>
      <c r="V12" s="39" t="n">
        <v>150</v>
      </c>
      <c r="W12" s="12">
        <f>$C12*V12</f>
        <v/>
      </c>
      <c r="X12" s="15">
        <f>W12</f>
        <v/>
      </c>
      <c r="Y12" s="16">
        <f>X12</f>
        <v/>
      </c>
      <c r="AA12" s="12">
        <f>$C12*Z12</f>
        <v/>
      </c>
      <c r="AB12" s="15">
        <f>AA12</f>
        <v/>
      </c>
      <c r="AC12" s="16">
        <f>AB12</f>
        <v/>
      </c>
    </row>
    <row r="13" customFormat="1" s="39">
      <c r="A13" s="34">
        <f>'2_MechAdd_Script'!A13</f>
        <v/>
      </c>
      <c r="B13" t="inlineStr">
        <is>
          <t>UTree_Diameter</t>
        </is>
      </c>
      <c r="C13" s="4" t="n">
        <v>0</v>
      </c>
      <c r="D13" s="5" t="n"/>
      <c r="E13" s="32" t="n"/>
      <c r="G13" s="12">
        <f>$C13*F13</f>
        <v/>
      </c>
      <c r="H13" s="15">
        <f>G13</f>
        <v/>
      </c>
      <c r="I13" s="16">
        <f>H13</f>
        <v/>
      </c>
      <c r="K13" s="12">
        <f>$C13*J13</f>
        <v/>
      </c>
      <c r="L13" s="15">
        <f>K13</f>
        <v/>
      </c>
      <c r="M13" s="16">
        <f>L13</f>
        <v/>
      </c>
      <c r="O13" s="12">
        <f>$C13*N13</f>
        <v/>
      </c>
      <c r="P13" s="15">
        <f>O13</f>
        <v/>
      </c>
      <c r="Q13" s="16">
        <f>P13</f>
        <v/>
      </c>
      <c r="R13" s="39" t="n">
        <v>0.5</v>
      </c>
      <c r="S13" s="12">
        <f>$C13*R13</f>
        <v/>
      </c>
      <c r="T13" s="15">
        <f>S13</f>
        <v/>
      </c>
      <c r="U13" s="16">
        <f>T13</f>
        <v/>
      </c>
      <c r="V13" s="39" t="n">
        <v>1.7</v>
      </c>
      <c r="W13" s="12">
        <f>$C13*V13</f>
        <v/>
      </c>
      <c r="X13" s="15">
        <f>W13</f>
        <v/>
      </c>
      <c r="Y13" s="16">
        <f>X13</f>
        <v/>
      </c>
      <c r="Z13" s="39" t="n">
        <v>1</v>
      </c>
      <c r="AA13" s="12">
        <f>$C13*Z13</f>
        <v/>
      </c>
      <c r="AB13" s="15">
        <f>AA13</f>
        <v/>
      </c>
      <c r="AC13" s="16">
        <f>AB13</f>
        <v/>
      </c>
    </row>
    <row r="14" customFormat="1" s="39">
      <c r="A14" s="34">
        <f>'2_MechAdd_Script'!A14</f>
        <v/>
      </c>
      <c r="B14" t="inlineStr">
        <is>
          <t>UTree_HeightLiveCrown</t>
        </is>
      </c>
      <c r="C14" s="4" t="n">
        <v>0</v>
      </c>
      <c r="D14" s="5" t="n"/>
      <c r="E14" s="32" t="n"/>
      <c r="G14" s="12">
        <f>$C14*F14</f>
        <v/>
      </c>
      <c r="H14" s="15">
        <f>G14</f>
        <v/>
      </c>
      <c r="I14" s="16">
        <f>H14</f>
        <v/>
      </c>
      <c r="K14" s="12">
        <f>$C14*J14</f>
        <v/>
      </c>
      <c r="L14" s="15">
        <f>K14</f>
        <v/>
      </c>
      <c r="M14" s="16">
        <f>L14</f>
        <v/>
      </c>
      <c r="O14" s="12">
        <f>$C14*N14</f>
        <v/>
      </c>
      <c r="P14" s="15">
        <f>O14</f>
        <v/>
      </c>
      <c r="Q14" s="16">
        <f>P14</f>
        <v/>
      </c>
      <c r="R14" s="39" t="n">
        <v>0</v>
      </c>
      <c r="S14" s="12">
        <f>$C14*R14</f>
        <v/>
      </c>
      <c r="T14" s="15">
        <f>S14</f>
        <v/>
      </c>
      <c r="U14" s="16">
        <f>T14</f>
        <v/>
      </c>
      <c r="V14" s="39" t="n">
        <v>2</v>
      </c>
      <c r="W14" s="12">
        <f>$C14*V14</f>
        <v/>
      </c>
      <c r="X14" s="15">
        <f>W14</f>
        <v/>
      </c>
      <c r="Y14" s="16">
        <f>X14</f>
        <v/>
      </c>
      <c r="Z14" s="39" t="n">
        <v>2</v>
      </c>
      <c r="AA14" s="12">
        <f>$C14*Z14</f>
        <v/>
      </c>
      <c r="AB14" s="15">
        <f>AA14</f>
        <v/>
      </c>
      <c r="AC14" s="16">
        <f>AB14</f>
        <v/>
      </c>
    </row>
    <row r="15" customFormat="1" s="39">
      <c r="A15" s="34">
        <f>'2_MechAdd_Script'!A15</f>
        <v/>
      </c>
      <c r="B15" t="inlineStr">
        <is>
          <t>UTree_Height</t>
        </is>
      </c>
      <c r="C15" s="4" t="n">
        <v>0</v>
      </c>
      <c r="D15" s="5" t="n"/>
      <c r="E15" s="32" t="n"/>
      <c r="G15" s="12">
        <f>$C15*F15</f>
        <v/>
      </c>
      <c r="H15" s="15">
        <f>G15</f>
        <v/>
      </c>
      <c r="I15" s="16">
        <f>H15</f>
        <v/>
      </c>
      <c r="K15" s="12">
        <f>$C15*J15</f>
        <v/>
      </c>
      <c r="L15" s="15">
        <f>K15</f>
        <v/>
      </c>
      <c r="M15" s="16">
        <f>L15</f>
        <v/>
      </c>
      <c r="O15" s="12">
        <f>$C15*N15</f>
        <v/>
      </c>
      <c r="P15" s="15">
        <f>O15</f>
        <v/>
      </c>
      <c r="Q15" s="16">
        <f>P15</f>
        <v/>
      </c>
      <c r="R15" s="39" t="n">
        <v>1.5</v>
      </c>
      <c r="S15" s="12">
        <f>$C15*R15</f>
        <v/>
      </c>
      <c r="T15" s="15">
        <f>S15</f>
        <v/>
      </c>
      <c r="U15" s="16">
        <f>T15</f>
        <v/>
      </c>
      <c r="V15" s="39" t="n">
        <v>10</v>
      </c>
      <c r="W15" s="12">
        <f>$C15*V15</f>
        <v/>
      </c>
      <c r="X15" s="15">
        <f>W15</f>
        <v/>
      </c>
      <c r="Y15" s="16">
        <f>X15</f>
        <v/>
      </c>
      <c r="Z15" s="39" t="n">
        <v>5</v>
      </c>
      <c r="AA15" s="12">
        <f>$C15*Z15</f>
        <v/>
      </c>
      <c r="AB15" s="15">
        <f>AA15</f>
        <v/>
      </c>
      <c r="AC15" s="16">
        <f>AB15</f>
        <v/>
      </c>
    </row>
    <row r="16" customFormat="1" s="39">
      <c r="A16" s="34">
        <f>'2_MechAdd_Script'!A16</f>
        <v/>
      </c>
      <c r="B16" t="inlineStr">
        <is>
          <t>UTree_Cover</t>
        </is>
      </c>
      <c r="C16" s="4" t="n">
        <v>0</v>
      </c>
      <c r="D16" s="5" t="n"/>
      <c r="E16" s="32" t="n"/>
      <c r="G16" s="12">
        <f>$C16*F16</f>
        <v/>
      </c>
      <c r="H16" s="15">
        <f>G16</f>
        <v/>
      </c>
      <c r="I16" s="16">
        <f>H16</f>
        <v/>
      </c>
      <c r="K16" s="12">
        <f>$C16*J16</f>
        <v/>
      </c>
      <c r="L16" s="15">
        <f>K16</f>
        <v/>
      </c>
      <c r="M16" s="16">
        <f>L16</f>
        <v/>
      </c>
      <c r="O16" s="12">
        <f>$C16*N16</f>
        <v/>
      </c>
      <c r="P16" s="15">
        <f>O16</f>
        <v/>
      </c>
      <c r="Q16" s="16">
        <f>P16</f>
        <v/>
      </c>
      <c r="R16" s="39" t="n">
        <v>3</v>
      </c>
      <c r="S16" s="12">
        <f>$C16*R16</f>
        <v/>
      </c>
      <c r="T16" s="15">
        <f>S16</f>
        <v/>
      </c>
      <c r="U16" s="16">
        <f>T16</f>
        <v/>
      </c>
      <c r="V16" s="39" t="n">
        <v>30</v>
      </c>
      <c r="W16" s="12">
        <f>$C16*V16</f>
        <v/>
      </c>
      <c r="X16" s="15">
        <f>W16</f>
        <v/>
      </c>
      <c r="Y16" s="16">
        <f>X16</f>
        <v/>
      </c>
      <c r="Z16" s="39" t="n">
        <v>5</v>
      </c>
      <c r="AA16" s="12">
        <f>$C16*Z16</f>
        <v/>
      </c>
      <c r="AB16" s="15">
        <f>AA16</f>
        <v/>
      </c>
      <c r="AC16" s="16">
        <f>AB16</f>
        <v/>
      </c>
    </row>
    <row r="17" customFormat="1" s="39">
      <c r="A17" s="34">
        <f>'2_MechAdd_Script'!A17</f>
        <v/>
      </c>
      <c r="B17" t="inlineStr">
        <is>
          <t>UTree_Density</t>
        </is>
      </c>
      <c r="C17" s="4" t="n">
        <v>0</v>
      </c>
      <c r="D17" s="5" t="n"/>
      <c r="E17" s="32" t="n"/>
      <c r="G17" s="12">
        <f>$C17*F17</f>
        <v/>
      </c>
      <c r="H17" s="15">
        <f>G17</f>
        <v/>
      </c>
      <c r="I17" s="16">
        <f>H17</f>
        <v/>
      </c>
      <c r="K17" s="12">
        <f>$C17*J17</f>
        <v/>
      </c>
      <c r="L17" s="15">
        <f>K17</f>
        <v/>
      </c>
      <c r="M17" s="16">
        <f>L17</f>
        <v/>
      </c>
      <c r="O17" s="12">
        <f>$C17*N17</f>
        <v/>
      </c>
      <c r="P17" s="15">
        <f>O17</f>
        <v/>
      </c>
      <c r="Q17" s="16">
        <f>P17</f>
        <v/>
      </c>
      <c r="R17" s="39" t="n">
        <v>1000</v>
      </c>
      <c r="S17" s="12">
        <f>$C17*R17</f>
        <v/>
      </c>
      <c r="T17" s="15">
        <f>S17</f>
        <v/>
      </c>
      <c r="U17" s="16">
        <f>T17</f>
        <v/>
      </c>
      <c r="V17" s="39" t="n">
        <v>1000</v>
      </c>
      <c r="W17" s="12">
        <f>$C17*V17</f>
        <v/>
      </c>
      <c r="X17" s="15">
        <f>W17</f>
        <v/>
      </c>
      <c r="Y17" s="16">
        <f>X17</f>
        <v/>
      </c>
      <c r="Z17" s="39" t="n">
        <v>25</v>
      </c>
      <c r="AA17" s="12">
        <f>$C17*Z17</f>
        <v/>
      </c>
      <c r="AB17" s="15">
        <f>AA17</f>
        <v/>
      </c>
      <c r="AC17" s="16">
        <f>AB17</f>
        <v/>
      </c>
    </row>
    <row r="18" customFormat="1" s="39">
      <c r="A18" s="34">
        <f>'2_MechAdd_Script'!A18</f>
        <v/>
      </c>
      <c r="B18" t="inlineStr">
        <is>
          <t>C1Snag_Diameter</t>
        </is>
      </c>
      <c r="C18" s="4" t="n"/>
      <c r="D18" s="5" t="n"/>
      <c r="E18" s="32" t="n"/>
      <c r="G18" s="12">
        <f>F18</f>
        <v/>
      </c>
      <c r="H18" s="15">
        <f>G18</f>
        <v/>
      </c>
      <c r="I18" s="16">
        <f>H18</f>
        <v/>
      </c>
      <c r="K18" s="12">
        <f>J18</f>
        <v/>
      </c>
      <c r="L18" s="15">
        <f>K18</f>
        <v/>
      </c>
      <c r="M18" s="16">
        <f>L18</f>
        <v/>
      </c>
      <c r="O18" s="12">
        <f>N18</f>
        <v/>
      </c>
      <c r="P18" s="15">
        <f>O18</f>
        <v/>
      </c>
      <c r="Q18" s="16">
        <f>P18</f>
        <v/>
      </c>
      <c r="R18" s="39" t="n">
        <v>3.5</v>
      </c>
      <c r="S18" s="12">
        <f>R18</f>
        <v/>
      </c>
      <c r="T18" s="15">
        <f>S18</f>
        <v/>
      </c>
      <c r="U18" s="16">
        <f>T18</f>
        <v/>
      </c>
      <c r="V18" s="39" t="n">
        <v>13</v>
      </c>
      <c r="W18" s="12">
        <f>V18</f>
        <v/>
      </c>
      <c r="X18" s="15">
        <f>W18</f>
        <v/>
      </c>
      <c r="Y18" s="16">
        <f>X18</f>
        <v/>
      </c>
      <c r="AA18" s="12">
        <f>Z18</f>
        <v/>
      </c>
      <c r="AB18" s="15">
        <f>AA18</f>
        <v/>
      </c>
      <c r="AC18" s="16">
        <f>AB18</f>
        <v/>
      </c>
    </row>
    <row r="19" customFormat="1" s="39">
      <c r="A19" s="34">
        <f>'2_MechAdd_Script'!A19</f>
        <v/>
      </c>
      <c r="B19" t="inlineStr">
        <is>
          <t>C1Snag_Height</t>
        </is>
      </c>
      <c r="C19" s="4" t="n"/>
      <c r="D19" s="5" t="n"/>
      <c r="E19" s="32" t="n"/>
      <c r="G19" s="12">
        <f>F19</f>
        <v/>
      </c>
      <c r="H19" s="15">
        <f>G19</f>
        <v/>
      </c>
      <c r="I19" s="16">
        <f>H19</f>
        <v/>
      </c>
      <c r="K19" s="12">
        <f>J19</f>
        <v/>
      </c>
      <c r="L19" s="15">
        <f>K19</f>
        <v/>
      </c>
      <c r="M19" s="16">
        <f>L19</f>
        <v/>
      </c>
      <c r="O19" s="12">
        <f>N19</f>
        <v/>
      </c>
      <c r="P19" s="15">
        <f>O19</f>
        <v/>
      </c>
      <c r="Q19" s="16">
        <f>P19</f>
        <v/>
      </c>
      <c r="R19" s="39" t="n">
        <v>25</v>
      </c>
      <c r="S19" s="12">
        <f>R19</f>
        <v/>
      </c>
      <c r="T19" s="15">
        <f>S19</f>
        <v/>
      </c>
      <c r="U19" s="16">
        <f>T19</f>
        <v/>
      </c>
      <c r="V19" s="39" t="n">
        <v>55</v>
      </c>
      <c r="W19" s="12">
        <f>V19</f>
        <v/>
      </c>
      <c r="X19" s="15">
        <f>W19</f>
        <v/>
      </c>
      <c r="Y19" s="16">
        <f>X19</f>
        <v/>
      </c>
      <c r="AA19" s="12">
        <f>Z19</f>
        <v/>
      </c>
      <c r="AB19" s="15">
        <f>AA19</f>
        <v/>
      </c>
      <c r="AC19" s="16">
        <f>AB19</f>
        <v/>
      </c>
    </row>
    <row r="20" customFormat="1" s="39">
      <c r="A20" s="34">
        <f>'2_MechAdd_Script'!A20</f>
        <v/>
      </c>
      <c r="B20" t="inlineStr">
        <is>
          <t>C1Snag_Density</t>
        </is>
      </c>
      <c r="C20" s="4" t="n"/>
      <c r="D20" s="5" t="n"/>
      <c r="E20" s="32" t="n"/>
      <c r="G20" s="12">
        <f>F20</f>
        <v/>
      </c>
      <c r="H20" s="15">
        <f>G20</f>
        <v/>
      </c>
      <c r="I20" s="16">
        <f>H20</f>
        <v/>
      </c>
      <c r="K20" s="12">
        <f>J20</f>
        <v/>
      </c>
      <c r="L20" s="15">
        <f>K20</f>
        <v/>
      </c>
      <c r="M20" s="16">
        <f>L20</f>
        <v/>
      </c>
      <c r="O20" s="12">
        <f>N20</f>
        <v/>
      </c>
      <c r="P20" s="15">
        <f>O20</f>
        <v/>
      </c>
      <c r="Q20" s="16">
        <f>P20</f>
        <v/>
      </c>
      <c r="R20" s="39" t="n">
        <v>100</v>
      </c>
      <c r="S20" s="12">
        <f>R20</f>
        <v/>
      </c>
      <c r="T20" s="15">
        <f>S20</f>
        <v/>
      </c>
      <c r="U20" s="16">
        <f>T20</f>
        <v/>
      </c>
      <c r="V20" s="39" t="n">
        <v>5</v>
      </c>
      <c r="W20" s="12">
        <f>V20</f>
        <v/>
      </c>
      <c r="X20" s="15">
        <f>W20</f>
        <v/>
      </c>
      <c r="Y20" s="16">
        <f>X20</f>
        <v/>
      </c>
      <c r="AA20" s="12">
        <f>Z20</f>
        <v/>
      </c>
      <c r="AB20" s="15">
        <f>AA20</f>
        <v/>
      </c>
      <c r="AC20" s="16">
        <f>AB20</f>
        <v/>
      </c>
    </row>
    <row r="21" customFormat="1" s="39">
      <c r="A21" s="34">
        <f>'2_MechAdd_Script'!A21</f>
        <v/>
      </c>
      <c r="B21" t="inlineStr">
        <is>
          <t>C1FSnag_HeightCrownBase</t>
        </is>
      </c>
      <c r="C21" s="4" t="n"/>
      <c r="D21" s="5" t="n"/>
      <c r="E21" s="32" t="n"/>
      <c r="G21" s="12">
        <f>F21</f>
        <v/>
      </c>
      <c r="H21" s="15">
        <f>G21</f>
        <v/>
      </c>
      <c r="I21" s="16">
        <f>H21</f>
        <v/>
      </c>
      <c r="K21" s="12">
        <f>J21</f>
        <v/>
      </c>
      <c r="L21" s="15">
        <f>K21</f>
        <v/>
      </c>
      <c r="M21" s="16">
        <f>L21</f>
        <v/>
      </c>
      <c r="O21" s="12">
        <f>N21</f>
        <v/>
      </c>
      <c r="P21" s="15">
        <f>O21</f>
        <v/>
      </c>
      <c r="Q21" s="16">
        <f>P21</f>
        <v/>
      </c>
      <c r="S21" s="12">
        <f>R21</f>
        <v/>
      </c>
      <c r="T21" s="15">
        <f>S21</f>
        <v/>
      </c>
      <c r="U21" s="16">
        <f>T21</f>
        <v/>
      </c>
      <c r="V21" s="39" t="n">
        <v>33.35</v>
      </c>
      <c r="W21" s="12">
        <f>V21</f>
        <v/>
      </c>
      <c r="X21" s="15">
        <f>W21</f>
        <v/>
      </c>
      <c r="Y21" s="16">
        <f>X21</f>
        <v/>
      </c>
      <c r="AA21" s="12">
        <f>Z21</f>
        <v/>
      </c>
      <c r="AB21" s="15">
        <f>AA21</f>
        <v/>
      </c>
      <c r="AC21" s="16">
        <f>AB21</f>
        <v/>
      </c>
    </row>
    <row r="22" customFormat="1" s="39">
      <c r="A22" s="34">
        <f>'2_MechAdd_Script'!A22</f>
        <v/>
      </c>
      <c r="B22" t="inlineStr">
        <is>
          <t>C1FSnag_Diameter</t>
        </is>
      </c>
      <c r="C22" s="4" t="n"/>
      <c r="D22" s="5" t="n"/>
      <c r="E22" s="32" t="n"/>
      <c r="G22" s="12">
        <f>F22</f>
        <v/>
      </c>
      <c r="H22" s="15">
        <f>G22</f>
        <v/>
      </c>
      <c r="I22" s="16">
        <f>H22</f>
        <v/>
      </c>
      <c r="K22" s="12">
        <f>J22</f>
        <v/>
      </c>
      <c r="L22" s="15">
        <f>K22</f>
        <v/>
      </c>
      <c r="M22" s="16">
        <f>L22</f>
        <v/>
      </c>
      <c r="O22" s="12">
        <f>N22</f>
        <v/>
      </c>
      <c r="P22" s="15">
        <f>O22</f>
        <v/>
      </c>
      <c r="Q22" s="16">
        <f>P22</f>
        <v/>
      </c>
      <c r="S22" s="12">
        <f>R22</f>
        <v/>
      </c>
      <c r="T22" s="15">
        <f>S22</f>
        <v/>
      </c>
      <c r="U22" s="16">
        <f>T22</f>
        <v/>
      </c>
      <c r="V22" s="39" t="n">
        <v>9</v>
      </c>
      <c r="W22" s="12">
        <f>V22</f>
        <v/>
      </c>
      <c r="X22" s="15">
        <f>W22</f>
        <v/>
      </c>
      <c r="Y22" s="16">
        <f>X22</f>
        <v/>
      </c>
      <c r="AA22" s="12">
        <f>Z22</f>
        <v/>
      </c>
      <c r="AB22" s="15">
        <f>AA22</f>
        <v/>
      </c>
      <c r="AC22" s="16">
        <f>AB22</f>
        <v/>
      </c>
    </row>
    <row r="23" customFormat="1" s="39">
      <c r="A23" s="34">
        <f>'2_MechAdd_Script'!A23</f>
        <v/>
      </c>
      <c r="B23" t="inlineStr">
        <is>
          <t>C1FSnag_Height</t>
        </is>
      </c>
      <c r="C23" s="4" t="n"/>
      <c r="D23" s="5" t="n"/>
      <c r="E23" s="32" t="n"/>
      <c r="G23" s="12">
        <f>F23</f>
        <v/>
      </c>
      <c r="H23" s="15">
        <f>G23</f>
        <v/>
      </c>
      <c r="I23" s="16">
        <f>H23</f>
        <v/>
      </c>
      <c r="K23" s="12">
        <f>J23</f>
        <v/>
      </c>
      <c r="L23" s="15">
        <f>K23</f>
        <v/>
      </c>
      <c r="M23" s="16">
        <f>L23</f>
        <v/>
      </c>
      <c r="O23" s="12">
        <f>N23</f>
        <v/>
      </c>
      <c r="P23" s="15">
        <f>O23</f>
        <v/>
      </c>
      <c r="Q23" s="16">
        <f>P23</f>
        <v/>
      </c>
      <c r="S23" s="12">
        <f>R23</f>
        <v/>
      </c>
      <c r="T23" s="15">
        <f>S23</f>
        <v/>
      </c>
      <c r="U23" s="16">
        <f>T23</f>
        <v/>
      </c>
      <c r="V23" s="39" t="n">
        <v>50</v>
      </c>
      <c r="W23" s="12">
        <f>V23</f>
        <v/>
      </c>
      <c r="X23" s="15">
        <f>W23</f>
        <v/>
      </c>
      <c r="Y23" s="16">
        <f>X23</f>
        <v/>
      </c>
      <c r="AA23" s="12">
        <f>Z23</f>
        <v/>
      </c>
      <c r="AB23" s="15">
        <f>AA23</f>
        <v/>
      </c>
      <c r="AC23" s="16">
        <f>AB23</f>
        <v/>
      </c>
    </row>
    <row r="24" customFormat="1" s="39">
      <c r="A24" s="34">
        <f>'2_MechAdd_Script'!A24</f>
        <v/>
      </c>
      <c r="B24" t="inlineStr">
        <is>
          <t>C1FSnag_Cover</t>
        </is>
      </c>
      <c r="C24" s="4" t="n"/>
      <c r="D24" s="5" t="n"/>
      <c r="E24" s="32" t="n"/>
      <c r="G24" s="12">
        <f>F24</f>
        <v/>
      </c>
      <c r="H24" s="15">
        <f>G24</f>
        <v/>
      </c>
      <c r="I24" s="16">
        <f>H24</f>
        <v/>
      </c>
      <c r="K24" s="12">
        <f>J24</f>
        <v/>
      </c>
      <c r="L24" s="15">
        <f>K24</f>
        <v/>
      </c>
      <c r="M24" s="16">
        <f>L24</f>
        <v/>
      </c>
      <c r="O24" s="12">
        <f>N24</f>
        <v/>
      </c>
      <c r="P24" s="15">
        <f>O24</f>
        <v/>
      </c>
      <c r="Q24" s="16">
        <f>P24</f>
        <v/>
      </c>
      <c r="S24" s="12">
        <f>R24</f>
        <v/>
      </c>
      <c r="T24" s="15">
        <f>S24</f>
        <v/>
      </c>
      <c r="U24" s="16">
        <f>T24</f>
        <v/>
      </c>
      <c r="V24" s="39" t="n">
        <v>0.5071</v>
      </c>
      <c r="W24" s="12">
        <f>V24</f>
        <v/>
      </c>
      <c r="X24" s="15">
        <f>W24</f>
        <v/>
      </c>
      <c r="Y24" s="16">
        <f>X24</f>
        <v/>
      </c>
      <c r="AA24" s="12">
        <f>Z24</f>
        <v/>
      </c>
      <c r="AB24" s="15">
        <f>AA24</f>
        <v/>
      </c>
      <c r="AC24" s="16">
        <f>AB24</f>
        <v/>
      </c>
    </row>
    <row r="25" customFormat="1" s="39">
      <c r="A25" s="34">
        <f>'2_MechAdd_Script'!A25</f>
        <v/>
      </c>
      <c r="B25" t="inlineStr">
        <is>
          <t>C1FSnag_Density</t>
        </is>
      </c>
      <c r="C25" s="4" t="n"/>
      <c r="D25" s="5" t="n"/>
      <c r="E25" s="32" t="n"/>
      <c r="G25" s="12">
        <f>F25</f>
        <v/>
      </c>
      <c r="H25" s="15">
        <f>G25</f>
        <v/>
      </c>
      <c r="I25" s="16">
        <f>H25</f>
        <v/>
      </c>
      <c r="K25" s="12">
        <f>J25</f>
        <v/>
      </c>
      <c r="L25" s="15">
        <f>K25</f>
        <v/>
      </c>
      <c r="M25" s="16">
        <f>L25</f>
        <v/>
      </c>
      <c r="O25" s="12">
        <f>N25</f>
        <v/>
      </c>
      <c r="P25" s="15">
        <f>O25</f>
        <v/>
      </c>
      <c r="Q25" s="16">
        <f>P25</f>
        <v/>
      </c>
      <c r="S25" s="12">
        <f>R25</f>
        <v/>
      </c>
      <c r="T25" s="15">
        <f>S25</f>
        <v/>
      </c>
      <c r="U25" s="16">
        <f>T25</f>
        <v/>
      </c>
      <c r="V25" s="39" t="n">
        <v>5</v>
      </c>
      <c r="W25" s="12">
        <f>V25</f>
        <v/>
      </c>
      <c r="X25" s="15">
        <f>W25</f>
        <v/>
      </c>
      <c r="Y25" s="16">
        <f>X25</f>
        <v/>
      </c>
      <c r="AA25" s="12">
        <f>Z25</f>
        <v/>
      </c>
      <c r="AB25" s="15">
        <f>AA25</f>
        <v/>
      </c>
      <c r="AC25" s="16">
        <f>AB25</f>
        <v/>
      </c>
    </row>
    <row r="26" customFormat="1" s="39">
      <c r="A26" s="34">
        <f>'2_MechAdd_Script'!A26</f>
        <v/>
      </c>
      <c r="B26" t="inlineStr">
        <is>
          <t>C2Snag_Diameter</t>
        </is>
      </c>
      <c r="C26" s="4" t="n"/>
      <c r="D26" s="5" t="n"/>
      <c r="E26" s="32" t="n"/>
      <c r="G26" s="12">
        <f>F26</f>
        <v/>
      </c>
      <c r="H26" s="15">
        <f>G26</f>
        <v/>
      </c>
      <c r="I26" s="16">
        <f>H26</f>
        <v/>
      </c>
      <c r="K26" s="12">
        <f>J26</f>
        <v/>
      </c>
      <c r="L26" s="15">
        <f>K26</f>
        <v/>
      </c>
      <c r="M26" s="16">
        <f>L26</f>
        <v/>
      </c>
      <c r="O26" s="12">
        <f>N26</f>
        <v/>
      </c>
      <c r="P26" s="15">
        <f>O26</f>
        <v/>
      </c>
      <c r="Q26" s="16">
        <f>P26</f>
        <v/>
      </c>
      <c r="R26" s="39" t="n">
        <v>3.5</v>
      </c>
      <c r="S26" s="12">
        <f>R26</f>
        <v/>
      </c>
      <c r="T26" s="15">
        <f>S26</f>
        <v/>
      </c>
      <c r="U26" s="16">
        <f>T26</f>
        <v/>
      </c>
      <c r="V26" s="39" t="n">
        <v>11</v>
      </c>
      <c r="W26" s="12">
        <f>V26</f>
        <v/>
      </c>
      <c r="X26" s="15">
        <f>W26</f>
        <v/>
      </c>
      <c r="Y26" s="16">
        <f>X26</f>
        <v/>
      </c>
      <c r="Z26" s="39" t="n">
        <v>12</v>
      </c>
      <c r="AA26" s="12">
        <f>Z26</f>
        <v/>
      </c>
      <c r="AB26" s="15">
        <f>AA26</f>
        <v/>
      </c>
      <c r="AC26" s="16">
        <f>AB26</f>
        <v/>
      </c>
    </row>
    <row r="27" customFormat="1" s="39">
      <c r="A27" s="34">
        <f>'2_MechAdd_Script'!A27</f>
        <v/>
      </c>
      <c r="B27" t="inlineStr">
        <is>
          <t>C2Snag_Height</t>
        </is>
      </c>
      <c r="C27" s="4" t="n"/>
      <c r="D27" s="5" t="n"/>
      <c r="E27" s="32" t="n"/>
      <c r="G27" s="12">
        <f>F27</f>
        <v/>
      </c>
      <c r="H27" s="15">
        <f>G27</f>
        <v/>
      </c>
      <c r="I27" s="16">
        <f>H27</f>
        <v/>
      </c>
      <c r="K27" s="12">
        <f>J27</f>
        <v/>
      </c>
      <c r="L27" s="15">
        <f>K27</f>
        <v/>
      </c>
      <c r="M27" s="16">
        <f>L27</f>
        <v/>
      </c>
      <c r="O27" s="12">
        <f>N27</f>
        <v/>
      </c>
      <c r="P27" s="15">
        <f>O27</f>
        <v/>
      </c>
      <c r="Q27" s="16">
        <f>P27</f>
        <v/>
      </c>
      <c r="R27" s="39" t="n">
        <v>20</v>
      </c>
      <c r="S27" s="12">
        <f>R27</f>
        <v/>
      </c>
      <c r="T27" s="15">
        <f>S27</f>
        <v/>
      </c>
      <c r="U27" s="16">
        <f>T27</f>
        <v/>
      </c>
      <c r="V27" s="39" t="n">
        <v>50</v>
      </c>
      <c r="W27" s="12">
        <f>V27</f>
        <v/>
      </c>
      <c r="X27" s="15">
        <f>W27</f>
        <v/>
      </c>
      <c r="Y27" s="16">
        <f>X27</f>
        <v/>
      </c>
      <c r="Z27" s="39" t="n">
        <v>70</v>
      </c>
      <c r="AA27" s="12">
        <f>Z27</f>
        <v/>
      </c>
      <c r="AB27" s="15">
        <f>AA27</f>
        <v/>
      </c>
      <c r="AC27" s="16">
        <f>AB27</f>
        <v/>
      </c>
    </row>
    <row r="28" customFormat="1" s="39">
      <c r="A28" s="34">
        <f>'2_MechAdd_Script'!A28</f>
        <v/>
      </c>
      <c r="B28" t="inlineStr">
        <is>
          <t>C2Snag_Density</t>
        </is>
      </c>
      <c r="C28" s="4" t="n"/>
      <c r="D28" s="5" t="n"/>
      <c r="E28" s="32" t="n"/>
      <c r="G28" s="12">
        <f>F28</f>
        <v/>
      </c>
      <c r="H28" s="15">
        <f>G28</f>
        <v/>
      </c>
      <c r="I28" s="16">
        <f>H28</f>
        <v/>
      </c>
      <c r="K28" s="12">
        <f>J28</f>
        <v/>
      </c>
      <c r="L28" s="15">
        <f>K28</f>
        <v/>
      </c>
      <c r="M28" s="16">
        <f>L28</f>
        <v/>
      </c>
      <c r="O28" s="12">
        <f>N28</f>
        <v/>
      </c>
      <c r="P28" s="15">
        <f>O28</f>
        <v/>
      </c>
      <c r="Q28" s="16">
        <f>P28</f>
        <v/>
      </c>
      <c r="R28" s="39" t="n">
        <v>150</v>
      </c>
      <c r="S28" s="12">
        <f>R28</f>
        <v/>
      </c>
      <c r="T28" s="15">
        <f>S28</f>
        <v/>
      </c>
      <c r="U28" s="16">
        <f>T28</f>
        <v/>
      </c>
      <c r="V28" s="39" t="n">
        <v>10</v>
      </c>
      <c r="W28" s="12">
        <f>V28</f>
        <v/>
      </c>
      <c r="X28" s="15">
        <f>W28</f>
        <v/>
      </c>
      <c r="Y28" s="16">
        <f>X28</f>
        <v/>
      </c>
      <c r="Z28" s="39" t="n">
        <v>3</v>
      </c>
      <c r="AA28" s="12">
        <f>Z28</f>
        <v/>
      </c>
      <c r="AB28" s="15">
        <f>AA28</f>
        <v/>
      </c>
      <c r="AC28" s="16">
        <f>AB28</f>
        <v/>
      </c>
    </row>
    <row r="29" customFormat="1" s="39">
      <c r="A29" s="34">
        <f>'2_MechAdd_Script'!A29</f>
        <v/>
      </c>
      <c r="B29" t="inlineStr">
        <is>
          <t>C3Snag_Diameter</t>
        </is>
      </c>
      <c r="C29" s="4" t="n"/>
      <c r="D29" s="5" t="n"/>
      <c r="E29" s="32" t="n"/>
      <c r="F29" s="39" t="n">
        <v>9</v>
      </c>
      <c r="G29" s="12">
        <f>F29</f>
        <v/>
      </c>
      <c r="H29" s="15">
        <f>G29</f>
        <v/>
      </c>
      <c r="I29" s="16">
        <f>H29</f>
        <v/>
      </c>
      <c r="K29" s="12">
        <f>J29</f>
        <v/>
      </c>
      <c r="L29" s="15">
        <f>K29</f>
        <v/>
      </c>
      <c r="M29" s="16">
        <f>L29</f>
        <v/>
      </c>
      <c r="O29" s="12">
        <f>N29</f>
        <v/>
      </c>
      <c r="P29" s="15">
        <f>O29</f>
        <v/>
      </c>
      <c r="Q29" s="16">
        <f>P29</f>
        <v/>
      </c>
      <c r="R29" s="39" t="n">
        <v>3.5</v>
      </c>
      <c r="S29" s="12">
        <f>R29</f>
        <v/>
      </c>
      <c r="T29" s="15">
        <f>S29</f>
        <v/>
      </c>
      <c r="U29" s="16">
        <f>T29</f>
        <v/>
      </c>
      <c r="V29" s="39" t="n">
        <v>11</v>
      </c>
      <c r="W29" s="12">
        <f>V29</f>
        <v/>
      </c>
      <c r="X29" s="15">
        <f>W29</f>
        <v/>
      </c>
      <c r="Y29" s="16">
        <f>X29</f>
        <v/>
      </c>
      <c r="Z29" s="39" t="n">
        <v>10</v>
      </c>
      <c r="AA29" s="12">
        <f>Z29</f>
        <v/>
      </c>
      <c r="AB29" s="15">
        <f>AA29</f>
        <v/>
      </c>
      <c r="AC29" s="16">
        <f>AB29</f>
        <v/>
      </c>
    </row>
    <row r="30" customFormat="1" s="39">
      <c r="A30" s="34">
        <f>'2_MechAdd_Script'!A30</f>
        <v/>
      </c>
      <c r="B30" t="inlineStr">
        <is>
          <t>C3Snag_Height</t>
        </is>
      </c>
      <c r="C30" s="4" t="n"/>
      <c r="D30" s="5" t="n"/>
      <c r="E30" s="32" t="n"/>
      <c r="F30" s="39" t="n">
        <v>60</v>
      </c>
      <c r="G30" s="12">
        <f>F30</f>
        <v/>
      </c>
      <c r="H30" s="15">
        <f>G30</f>
        <v/>
      </c>
      <c r="I30" s="16">
        <f>H30</f>
        <v/>
      </c>
      <c r="K30" s="12">
        <f>J30</f>
        <v/>
      </c>
      <c r="L30" s="15">
        <f>K30</f>
        <v/>
      </c>
      <c r="M30" s="16">
        <f>L30</f>
        <v/>
      </c>
      <c r="O30" s="12">
        <f>N30</f>
        <v/>
      </c>
      <c r="P30" s="15">
        <f>O30</f>
        <v/>
      </c>
      <c r="Q30" s="16">
        <f>P30</f>
        <v/>
      </c>
      <c r="R30" s="39" t="n">
        <v>15</v>
      </c>
      <c r="S30" s="12">
        <f>R30</f>
        <v/>
      </c>
      <c r="T30" s="15">
        <f>S30</f>
        <v/>
      </c>
      <c r="U30" s="16">
        <f>T30</f>
        <v/>
      </c>
      <c r="V30" s="39" t="n">
        <v>40</v>
      </c>
      <c r="W30" s="12">
        <f>V30</f>
        <v/>
      </c>
      <c r="X30" s="15">
        <f>W30</f>
        <v/>
      </c>
      <c r="Y30" s="16">
        <f>X30</f>
        <v/>
      </c>
      <c r="Z30" s="39" t="n">
        <v>60</v>
      </c>
      <c r="AA30" s="12">
        <f>Z30</f>
        <v/>
      </c>
      <c r="AB30" s="15">
        <f>AA30</f>
        <v/>
      </c>
      <c r="AC30" s="16">
        <f>AB30</f>
        <v/>
      </c>
    </row>
    <row r="31" customFormat="1" s="39">
      <c r="A31" s="34">
        <f>'2_MechAdd_Script'!A31</f>
        <v/>
      </c>
      <c r="B31" t="inlineStr">
        <is>
          <t>C3Snag_Density</t>
        </is>
      </c>
      <c r="C31" s="4" t="n"/>
      <c r="D31" s="5" t="n"/>
      <c r="E31" s="32" t="n"/>
      <c r="F31" s="39" t="n">
        <v>3</v>
      </c>
      <c r="G31" s="12">
        <f>F31</f>
        <v/>
      </c>
      <c r="H31" s="15">
        <f>G31</f>
        <v/>
      </c>
      <c r="I31" s="16">
        <f>H31</f>
        <v/>
      </c>
      <c r="K31" s="12">
        <f>J31</f>
        <v/>
      </c>
      <c r="L31" s="15">
        <f>K31</f>
        <v/>
      </c>
      <c r="M31" s="16">
        <f>L31</f>
        <v/>
      </c>
      <c r="O31" s="12">
        <f>N31</f>
        <v/>
      </c>
      <c r="P31" s="15">
        <f>O31</f>
        <v/>
      </c>
      <c r="Q31" s="16">
        <f>P31</f>
        <v/>
      </c>
      <c r="R31" s="39" t="n">
        <v>150</v>
      </c>
      <c r="S31" s="12">
        <f>R31</f>
        <v/>
      </c>
      <c r="T31" s="15">
        <f>S31</f>
        <v/>
      </c>
      <c r="U31" s="16">
        <f>T31</f>
        <v/>
      </c>
      <c r="V31" s="39" t="n">
        <v>5</v>
      </c>
      <c r="W31" s="12">
        <f>V31</f>
        <v/>
      </c>
      <c r="X31" s="15">
        <f>W31</f>
        <v/>
      </c>
      <c r="Y31" s="16">
        <f>X31</f>
        <v/>
      </c>
      <c r="Z31" s="39" t="n">
        <v>3</v>
      </c>
      <c r="AA31" s="12">
        <f>Z31</f>
        <v/>
      </c>
      <c r="AB31" s="15">
        <f>AA31</f>
        <v/>
      </c>
      <c r="AC31" s="16">
        <f>AB31</f>
        <v/>
      </c>
    </row>
    <row r="32" customFormat="1" s="39">
      <c r="A32" s="34">
        <f>'2_MechAdd_Script'!A32</f>
        <v/>
      </c>
      <c r="B32" t="inlineStr">
        <is>
          <t>Ladder_MaxHeight</t>
        </is>
      </c>
      <c r="C32" s="4" t="n"/>
      <c r="D32" s="5" t="n"/>
      <c r="E32" s="32" t="n"/>
      <c r="G32" s="12">
        <f>F32</f>
        <v/>
      </c>
      <c r="H32" s="15">
        <f>G32</f>
        <v/>
      </c>
      <c r="I32" s="16">
        <f>H32</f>
        <v/>
      </c>
      <c r="K32" s="12">
        <f>J32</f>
        <v/>
      </c>
      <c r="L32" s="15">
        <f>K32</f>
        <v/>
      </c>
      <c r="M32" s="16">
        <f>L32</f>
        <v/>
      </c>
      <c r="O32" s="12">
        <f>N32</f>
        <v/>
      </c>
      <c r="P32" s="15">
        <f>O32</f>
        <v/>
      </c>
      <c r="Q32" s="16">
        <f>P32</f>
        <v/>
      </c>
      <c r="R32" s="39" t="n">
        <v>4</v>
      </c>
      <c r="S32" s="12">
        <f>R32</f>
        <v/>
      </c>
      <c r="T32" s="15">
        <f>S32</f>
        <v/>
      </c>
      <c r="U32" s="16">
        <f>T32</f>
        <v/>
      </c>
      <c r="V32" s="39" t="n">
        <v>15</v>
      </c>
      <c r="W32" s="12">
        <f>V32</f>
        <v/>
      </c>
      <c r="X32" s="15">
        <f>W32</f>
        <v/>
      </c>
      <c r="Y32" s="16">
        <f>X32</f>
        <v/>
      </c>
      <c r="AA32" s="12">
        <f>Z32</f>
        <v/>
      </c>
      <c r="AB32" s="15">
        <f>AA32</f>
        <v/>
      </c>
      <c r="AC32" s="16">
        <f>AB32</f>
        <v/>
      </c>
    </row>
    <row r="33" customFormat="1" s="39">
      <c r="A33" s="34">
        <f>'2_MechAdd_Script'!A33</f>
        <v/>
      </c>
      <c r="B33" t="inlineStr">
        <is>
          <t>Ladder_MinHeight</t>
        </is>
      </c>
      <c r="C33" s="4" t="n"/>
      <c r="D33" s="5" t="n"/>
      <c r="E33" s="32" t="n"/>
      <c r="G33" s="12">
        <f>F33</f>
        <v/>
      </c>
      <c r="H33" s="15">
        <f>G33</f>
        <v/>
      </c>
      <c r="I33" s="16">
        <f>H33</f>
        <v/>
      </c>
      <c r="K33" s="12">
        <f>J33</f>
        <v/>
      </c>
      <c r="L33" s="15">
        <f>K33</f>
        <v/>
      </c>
      <c r="M33" s="16">
        <f>L33</f>
        <v/>
      </c>
      <c r="O33" s="12">
        <f>N33</f>
        <v/>
      </c>
      <c r="P33" s="15">
        <f>O33</f>
        <v/>
      </c>
      <c r="Q33" s="16">
        <f>P33</f>
        <v/>
      </c>
      <c r="R33" s="39" t="n">
        <v>0</v>
      </c>
      <c r="S33" s="12">
        <f>R33</f>
        <v/>
      </c>
      <c r="T33" s="15">
        <f>S33</f>
        <v/>
      </c>
      <c r="U33" s="16">
        <f>T33</f>
        <v/>
      </c>
      <c r="V33" s="39" t="n">
        <v>5</v>
      </c>
      <c r="W33" s="12">
        <f>V33</f>
        <v/>
      </c>
      <c r="X33" s="15">
        <f>W33</f>
        <v/>
      </c>
      <c r="Y33" s="16">
        <f>X33</f>
        <v/>
      </c>
      <c r="AA33" s="12">
        <f>Z33</f>
        <v/>
      </c>
      <c r="AB33" s="15">
        <f>AA33</f>
        <v/>
      </c>
      <c r="AC33" s="16">
        <f>AB33</f>
        <v/>
      </c>
    </row>
    <row r="34" customFormat="1" s="39">
      <c r="A34" s="34">
        <f>'2_MechAdd_Script'!A34</f>
        <v/>
      </c>
      <c r="B34" t="inlineStr">
        <is>
          <t>1Shrub_Height</t>
        </is>
      </c>
      <c r="C34" s="4" t="n"/>
      <c r="D34" s="8" t="n"/>
      <c r="E34" s="31" t="n"/>
      <c r="F34" s="39" t="n">
        <v>2.2</v>
      </c>
      <c r="G34" s="12">
        <f>F34</f>
        <v/>
      </c>
      <c r="H34" s="15">
        <f>G34</f>
        <v/>
      </c>
      <c r="I34" s="16">
        <f>H34</f>
        <v/>
      </c>
      <c r="J34" s="39" t="n">
        <v>5</v>
      </c>
      <c r="K34" s="12">
        <f>J34</f>
        <v/>
      </c>
      <c r="L34" s="15">
        <f>K34</f>
        <v/>
      </c>
      <c r="M34" s="16">
        <f>L34</f>
        <v/>
      </c>
      <c r="N34" s="39" t="n">
        <v>3</v>
      </c>
      <c r="O34" s="12">
        <f>N34</f>
        <v/>
      </c>
      <c r="P34" s="15">
        <f>O34</f>
        <v/>
      </c>
      <c r="Q34" s="16">
        <f>P34</f>
        <v/>
      </c>
      <c r="R34" s="39" t="n">
        <v>5</v>
      </c>
      <c r="S34" s="12">
        <f>R34</f>
        <v/>
      </c>
      <c r="T34" s="15">
        <f>S34</f>
        <v/>
      </c>
      <c r="U34" s="16">
        <f>T34</f>
        <v/>
      </c>
      <c r="V34" s="39" t="n">
        <v>6</v>
      </c>
      <c r="W34" s="12">
        <f>V34</f>
        <v/>
      </c>
      <c r="X34" s="15">
        <f>W34</f>
        <v/>
      </c>
      <c r="Y34" s="16">
        <f>X34</f>
        <v/>
      </c>
      <c r="Z34" s="39" t="n">
        <v>5</v>
      </c>
      <c r="AA34" s="12">
        <f>Z34</f>
        <v/>
      </c>
      <c r="AB34" s="15">
        <f>AA34</f>
        <v/>
      </c>
      <c r="AC34" s="16">
        <f>AB34</f>
        <v/>
      </c>
    </row>
    <row r="35" customFormat="1" s="39">
      <c r="A35" s="34">
        <f>'2_MechAdd_Script'!A35</f>
        <v/>
      </c>
      <c r="B35" t="inlineStr">
        <is>
          <t>1Shrub_Cover</t>
        </is>
      </c>
      <c r="C35" s="4" t="n">
        <v>0.25</v>
      </c>
      <c r="D35" s="8" t="n">
        <v>1.5</v>
      </c>
      <c r="E35" s="31" t="n">
        <v>1.5</v>
      </c>
      <c r="F35" s="39" t="n">
        <v>21.6</v>
      </c>
      <c r="G35" s="12">
        <f>$C35*F35</f>
        <v/>
      </c>
      <c r="H35" s="15">
        <f>MIN(100,G35*$D35)</f>
        <v/>
      </c>
      <c r="I35" s="16">
        <f>MIN(100,$E35*H35)</f>
        <v/>
      </c>
      <c r="J35" s="39" t="n">
        <v>70</v>
      </c>
      <c r="K35" s="12">
        <f>$C35*J35</f>
        <v/>
      </c>
      <c r="L35" s="15">
        <f>MIN(100,K35*$D35)</f>
        <v/>
      </c>
      <c r="M35" s="16">
        <f>MIN(100,$E35*L35)</f>
        <v/>
      </c>
      <c r="N35" s="39" t="n">
        <v>2</v>
      </c>
      <c r="O35" s="12">
        <f>$C35*N35</f>
        <v/>
      </c>
      <c r="P35" s="15">
        <f>MIN(100,O35*$D35)</f>
        <v/>
      </c>
      <c r="Q35" s="16">
        <f>MIN(100,$E35*P35)</f>
        <v/>
      </c>
      <c r="R35" s="39" t="n">
        <v>10</v>
      </c>
      <c r="S35" s="12">
        <f>$C35*R35</f>
        <v/>
      </c>
      <c r="T35" s="15">
        <f>MIN(100,S35*$D35)</f>
        <v/>
      </c>
      <c r="U35" s="16">
        <f>MIN(100,$E35*T35)</f>
        <v/>
      </c>
      <c r="V35" s="39" t="n">
        <v>30</v>
      </c>
      <c r="W35" s="12">
        <f>$C35*V35</f>
        <v/>
      </c>
      <c r="X35" s="15">
        <f>MIN(100,W35*$D35)</f>
        <v/>
      </c>
      <c r="Y35" s="16">
        <f>MIN(100,$E35*X35)</f>
        <v/>
      </c>
      <c r="Z35" s="39" t="n">
        <v>80</v>
      </c>
      <c r="AA35" s="12">
        <f>$C35*Z35</f>
        <v/>
      </c>
      <c r="AB35" s="15">
        <f>MIN(100,AA35*$D35)</f>
        <v/>
      </c>
      <c r="AC35" s="16">
        <f>MIN(100,$E35*AB35)</f>
        <v/>
      </c>
    </row>
    <row r="36" customFormat="1" s="39">
      <c r="A36" s="34">
        <f>'2_MechAdd_Script'!A36</f>
        <v/>
      </c>
      <c r="B36" t="inlineStr">
        <is>
          <t>1Shrub_Live</t>
        </is>
      </c>
      <c r="C36" s="4" t="n">
        <v>0.25</v>
      </c>
      <c r="D36" s="8">
        <f>1/0.25</f>
        <v/>
      </c>
      <c r="E36" s="31" t="n"/>
      <c r="F36" s="39" t="n">
        <v>85</v>
      </c>
      <c r="G36" s="12">
        <f>$C36*F36</f>
        <v/>
      </c>
      <c r="H36" s="15">
        <f>MIN(100,G36*$D36)</f>
        <v/>
      </c>
      <c r="I36" s="16">
        <f>H36</f>
        <v/>
      </c>
      <c r="J36" s="39" t="n">
        <v>85</v>
      </c>
      <c r="K36" s="12">
        <f>$C36*J36</f>
        <v/>
      </c>
      <c r="L36" s="15">
        <f>MIN(100,K36*$D36)</f>
        <v/>
      </c>
      <c r="M36" s="16">
        <f>L36</f>
        <v/>
      </c>
      <c r="N36" s="39" t="n">
        <v>100</v>
      </c>
      <c r="O36" s="12">
        <f>$C36*N36</f>
        <v/>
      </c>
      <c r="P36" s="15">
        <f>MIN(100,O36*$D36)</f>
        <v/>
      </c>
      <c r="Q36" s="16">
        <f>P36</f>
        <v/>
      </c>
      <c r="R36" s="39" t="n">
        <v>90</v>
      </c>
      <c r="S36" s="12">
        <f>$C36*R36</f>
        <v/>
      </c>
      <c r="T36" s="15">
        <f>MIN(100,S36*$D36)</f>
        <v/>
      </c>
      <c r="U36" s="16">
        <f>T36</f>
        <v/>
      </c>
      <c r="V36" s="39" t="n">
        <v>85</v>
      </c>
      <c r="W36" s="12">
        <f>$C36*V36</f>
        <v/>
      </c>
      <c r="X36" s="15">
        <f>MIN(100,W36*$D36)</f>
        <v/>
      </c>
      <c r="Y36" s="16">
        <f>X36</f>
        <v/>
      </c>
      <c r="Z36" s="39" t="n">
        <v>90</v>
      </c>
      <c r="AA36" s="12">
        <f>$C36*Z36</f>
        <v/>
      </c>
      <c r="AB36" s="15">
        <f>MIN(100,AA36*$D36)</f>
        <v/>
      </c>
      <c r="AC36" s="16">
        <f>AB36</f>
        <v/>
      </c>
    </row>
    <row r="37" customFormat="1" s="39">
      <c r="A37" s="34">
        <f>'2_MechAdd_Script'!A37</f>
        <v/>
      </c>
      <c r="B37" t="inlineStr">
        <is>
          <t>2Shrub_Height</t>
        </is>
      </c>
      <c r="C37" s="4" t="n"/>
      <c r="D37" s="8" t="n"/>
      <c r="E37" s="31" t="n"/>
      <c r="F37" s="39" t="n">
        <v>0.3</v>
      </c>
      <c r="G37" s="12">
        <f>F37</f>
        <v/>
      </c>
      <c r="H37" s="15">
        <f>G37</f>
        <v/>
      </c>
      <c r="I37" s="16">
        <f>H37</f>
        <v/>
      </c>
      <c r="J37" s="39" t="n">
        <v>2</v>
      </c>
      <c r="K37" s="12">
        <f>J37</f>
        <v/>
      </c>
      <c r="L37" s="15">
        <f>K37</f>
        <v/>
      </c>
      <c r="M37" s="16">
        <f>L37</f>
        <v/>
      </c>
      <c r="O37" s="12">
        <f>N37</f>
        <v/>
      </c>
      <c r="P37" s="15">
        <f>O37</f>
        <v/>
      </c>
      <c r="Q37" s="16">
        <f>P37</f>
        <v/>
      </c>
      <c r="R37" s="39" t="n">
        <v>1</v>
      </c>
      <c r="S37" s="12">
        <f>R37</f>
        <v/>
      </c>
      <c r="T37" s="15">
        <f>S37</f>
        <v/>
      </c>
      <c r="U37" s="16">
        <f>T37</f>
        <v/>
      </c>
      <c r="W37" s="12">
        <f>V37</f>
        <v/>
      </c>
      <c r="X37" s="15">
        <f>W37</f>
        <v/>
      </c>
      <c r="Y37" s="16">
        <f>X37</f>
        <v/>
      </c>
      <c r="AA37" s="12">
        <f>Z37</f>
        <v/>
      </c>
      <c r="AB37" s="15">
        <f>AA37</f>
        <v/>
      </c>
      <c r="AC37" s="16">
        <f>AB37</f>
        <v/>
      </c>
    </row>
    <row r="38" customFormat="1" s="39">
      <c r="A38" s="34">
        <f>'2_MechAdd_Script'!A38</f>
        <v/>
      </c>
      <c r="B38" t="inlineStr">
        <is>
          <t>2Shrub_Cover</t>
        </is>
      </c>
      <c r="C38" s="4" t="n">
        <v>0.25</v>
      </c>
      <c r="D38" s="8" t="n">
        <v>1.5</v>
      </c>
      <c r="E38" s="31" t="n">
        <v>1.5</v>
      </c>
      <c r="F38" s="39" t="n">
        <v>1.2</v>
      </c>
      <c r="G38" s="12">
        <f>$C38*F38</f>
        <v/>
      </c>
      <c r="H38" s="15">
        <f>MIN(100,G38*$D38)</f>
        <v/>
      </c>
      <c r="I38" s="16">
        <f>MIN(100,$E38*H38)</f>
        <v/>
      </c>
      <c r="J38" s="39" t="n">
        <v>5</v>
      </c>
      <c r="K38" s="12">
        <f>$C38*J38</f>
        <v/>
      </c>
      <c r="L38" s="15">
        <f>MIN(100,K38*$D38)</f>
        <v/>
      </c>
      <c r="M38" s="16">
        <f>MIN(100,$E38*L38)</f>
        <v/>
      </c>
      <c r="O38" s="12">
        <f>$C38*N38</f>
        <v/>
      </c>
      <c r="P38" s="15">
        <f>MIN(100,O38*$D38)</f>
        <v/>
      </c>
      <c r="Q38" s="16">
        <f>MIN(100,$E38*P38)</f>
        <v/>
      </c>
      <c r="R38" s="39" t="n">
        <v>20</v>
      </c>
      <c r="S38" s="12">
        <f>$C38*R38</f>
        <v/>
      </c>
      <c r="T38" s="15">
        <f>MIN(100,S38*$D38)</f>
        <v/>
      </c>
      <c r="U38" s="16">
        <f>MIN(100,$E38*T38)</f>
        <v/>
      </c>
      <c r="W38" s="12">
        <f>$C38*V38</f>
        <v/>
      </c>
      <c r="X38" s="15">
        <f>MIN(100,W38*$D38)</f>
        <v/>
      </c>
      <c r="Y38" s="16">
        <f>MIN(100,$E38*X38)</f>
        <v/>
      </c>
      <c r="AA38" s="12">
        <f>$C38*Z38</f>
        <v/>
      </c>
      <c r="AB38" s="15">
        <f>MIN(100,AA38*$D38)</f>
        <v/>
      </c>
      <c r="AC38" s="16">
        <f>MIN(100,$E38*AB38)</f>
        <v/>
      </c>
    </row>
    <row r="39" customFormat="1" s="39">
      <c r="A39" s="34">
        <f>'2_MechAdd_Script'!A39</f>
        <v/>
      </c>
      <c r="B39" t="inlineStr">
        <is>
          <t>2Shrub_Live</t>
        </is>
      </c>
      <c r="C39" s="4" t="n">
        <v>0.25</v>
      </c>
      <c r="D39" s="8">
        <f>1/0.25</f>
        <v/>
      </c>
      <c r="E39" s="31" t="n"/>
      <c r="F39" s="39" t="n">
        <v>95</v>
      </c>
      <c r="G39" s="12">
        <f>$C39*F39</f>
        <v/>
      </c>
      <c r="H39" s="15">
        <f>MIN(100,G39*$D39)</f>
        <v/>
      </c>
      <c r="I39" s="16">
        <f>H39</f>
        <v/>
      </c>
      <c r="J39" s="39" t="n">
        <v>85</v>
      </c>
      <c r="K39" s="12">
        <f>$C39*J39</f>
        <v/>
      </c>
      <c r="L39" s="15">
        <f>MIN(100,K39*$D39)</f>
        <v/>
      </c>
      <c r="M39" s="16">
        <f>L39</f>
        <v/>
      </c>
      <c r="O39" s="12">
        <f>$C39*N39</f>
        <v/>
      </c>
      <c r="P39" s="15">
        <f>MIN(100,O39*$D39)</f>
        <v/>
      </c>
      <c r="Q39" s="16">
        <f>P39</f>
        <v/>
      </c>
      <c r="R39" s="39" t="n">
        <v>90</v>
      </c>
      <c r="S39" s="12">
        <f>$C39*R39</f>
        <v/>
      </c>
      <c r="T39" s="15">
        <f>MIN(100,S39*$D39)</f>
        <v/>
      </c>
      <c r="U39" s="16">
        <f>T39</f>
        <v/>
      </c>
      <c r="W39" s="12">
        <f>$C39*V39</f>
        <v/>
      </c>
      <c r="X39" s="15">
        <f>MIN(100,W39*$D39)</f>
        <v/>
      </c>
      <c r="Y39" s="16">
        <f>X39</f>
        <v/>
      </c>
      <c r="AA39" s="12">
        <f>$C39*Z39</f>
        <v/>
      </c>
      <c r="AB39" s="15">
        <f>MIN(100,AA39*$D39)</f>
        <v/>
      </c>
      <c r="AC39" s="16">
        <f>AB39</f>
        <v/>
      </c>
    </row>
    <row r="40" customFormat="1" s="39">
      <c r="A40" s="34">
        <f>'2_MechAdd_Script'!A40</f>
        <v/>
      </c>
      <c r="B40" t="inlineStr">
        <is>
          <t>1Herb_Height</t>
        </is>
      </c>
      <c r="C40" s="4" t="n"/>
      <c r="D40" s="8" t="n"/>
      <c r="E40" s="31" t="n"/>
      <c r="F40" s="39" t="n">
        <v>0.9</v>
      </c>
      <c r="G40" s="12">
        <f>F40</f>
        <v/>
      </c>
      <c r="H40" s="15">
        <f>G40</f>
        <v/>
      </c>
      <c r="I40" s="16">
        <f>H40</f>
        <v/>
      </c>
      <c r="K40" s="12">
        <f>J40</f>
        <v/>
      </c>
      <c r="L40" s="15">
        <f>K40</f>
        <v/>
      </c>
      <c r="M40" s="16">
        <f>L40</f>
        <v/>
      </c>
      <c r="N40" s="39" t="n">
        <v>2</v>
      </c>
      <c r="O40" s="12">
        <f>N40</f>
        <v/>
      </c>
      <c r="P40" s="15">
        <f>O40</f>
        <v/>
      </c>
      <c r="Q40" s="16">
        <f>P40</f>
        <v/>
      </c>
      <c r="R40" s="39" t="n">
        <v>1</v>
      </c>
      <c r="S40" s="12">
        <f>R40</f>
        <v/>
      </c>
      <c r="T40" s="15">
        <f>S40</f>
        <v/>
      </c>
      <c r="U40" s="16">
        <f>T40</f>
        <v/>
      </c>
      <c r="V40" s="39" t="n">
        <v>2.5</v>
      </c>
      <c r="W40" s="12">
        <f>V40</f>
        <v/>
      </c>
      <c r="X40" s="15">
        <f>W40</f>
        <v/>
      </c>
      <c r="Y40" s="16">
        <f>X40</f>
        <v/>
      </c>
      <c r="Z40" s="39" t="n">
        <v>2</v>
      </c>
      <c r="AA40" s="12">
        <f>Z40</f>
        <v/>
      </c>
      <c r="AB40" s="15">
        <f>AA40</f>
        <v/>
      </c>
      <c r="AC40" s="16">
        <f>AB40</f>
        <v/>
      </c>
    </row>
    <row r="41" customFormat="1" s="39">
      <c r="A41" s="34">
        <f>'2_MechAdd_Script'!A41</f>
        <v/>
      </c>
      <c r="B41" t="inlineStr">
        <is>
          <t>1Herb_Load</t>
        </is>
      </c>
      <c r="C41" s="4" t="n">
        <v>0.25</v>
      </c>
      <c r="D41" s="8" t="n">
        <v>1.5</v>
      </c>
      <c r="E41" s="31" t="n">
        <v>1.5</v>
      </c>
      <c r="F41" s="39" t="n">
        <v>0.1</v>
      </c>
      <c r="G41" s="12">
        <f>$C41*F41</f>
        <v/>
      </c>
      <c r="H41" s="15">
        <f>G41*$D41</f>
        <v/>
      </c>
      <c r="I41" s="16">
        <f>$E41*H41</f>
        <v/>
      </c>
      <c r="K41" s="12">
        <f>$C41*J41</f>
        <v/>
      </c>
      <c r="L41" s="15">
        <f>K41*$D41</f>
        <v/>
      </c>
      <c r="M41" s="16">
        <f>$E41*L41</f>
        <v/>
      </c>
      <c r="N41" s="39" t="n">
        <v>1</v>
      </c>
      <c r="O41" s="12">
        <f>$C41*N41</f>
        <v/>
      </c>
      <c r="P41" s="15">
        <f>O41*$D41</f>
        <v/>
      </c>
      <c r="Q41" s="16">
        <f>$E41*P41</f>
        <v/>
      </c>
      <c r="R41" s="39" t="n">
        <v>0.01</v>
      </c>
      <c r="S41" s="12">
        <f>$C41*R41</f>
        <v/>
      </c>
      <c r="T41" s="15">
        <f>S41*$D41</f>
        <v/>
      </c>
      <c r="U41" s="16">
        <f>$E41*T41</f>
        <v/>
      </c>
      <c r="V41" s="39" t="n">
        <v>0.4</v>
      </c>
      <c r="W41" s="12">
        <f>$C41*V41</f>
        <v/>
      </c>
      <c r="X41" s="15">
        <f>W41*$D41</f>
        <v/>
      </c>
      <c r="Y41" s="16">
        <f>$E41*X41</f>
        <v/>
      </c>
      <c r="Z41" s="39" t="n">
        <v>0.1</v>
      </c>
      <c r="AA41" s="12">
        <f>$C41*Z41</f>
        <v/>
      </c>
      <c r="AB41" s="15">
        <f>AA41*$D41</f>
        <v/>
      </c>
      <c r="AC41" s="16">
        <f>$E41*AB41</f>
        <v/>
      </c>
    </row>
    <row r="42" customFormat="1" s="39">
      <c r="A42" s="34">
        <f>'2_MechAdd_Script'!A42</f>
        <v/>
      </c>
      <c r="B42" t="inlineStr">
        <is>
          <t>1Herb_Cover</t>
        </is>
      </c>
      <c r="C42" s="4" t="n">
        <v>0.25</v>
      </c>
      <c r="D42" s="8" t="n">
        <v>1.5</v>
      </c>
      <c r="E42" s="31" t="n">
        <v>1.5</v>
      </c>
      <c r="F42" s="39" t="n">
        <v>0.7</v>
      </c>
      <c r="G42" s="12">
        <f>$C42*F42</f>
        <v/>
      </c>
      <c r="H42" s="15">
        <f>MIN(100,G42*$D42)</f>
        <v/>
      </c>
      <c r="I42" s="16">
        <f>MIN(100,$E42*H42)</f>
        <v/>
      </c>
      <c r="K42" s="12">
        <f>$C42*J42</f>
        <v/>
      </c>
      <c r="L42" s="15">
        <f>MIN(100,K42*$D42)</f>
        <v/>
      </c>
      <c r="M42" s="16">
        <f>MIN(100,$E42*L42)</f>
        <v/>
      </c>
      <c r="N42" s="39" t="n">
        <v>90</v>
      </c>
      <c r="O42" s="12">
        <f>$C42*N42</f>
        <v/>
      </c>
      <c r="P42" s="15">
        <f>MIN(100,O42*$D42)</f>
        <v/>
      </c>
      <c r="Q42" s="16">
        <f>MIN(100,$E42*P42)</f>
        <v/>
      </c>
      <c r="R42" s="39" t="n">
        <v>2</v>
      </c>
      <c r="S42" s="12">
        <f>$C42*R42</f>
        <v/>
      </c>
      <c r="T42" s="15">
        <f>MIN(100,S42*$D42)</f>
        <v/>
      </c>
      <c r="U42" s="16">
        <f>MIN(100,$E42*T42)</f>
        <v/>
      </c>
      <c r="V42" s="39" t="n">
        <v>30</v>
      </c>
      <c r="W42" s="12">
        <f>$C42*V42</f>
        <v/>
      </c>
      <c r="X42" s="15">
        <f>MIN(100,W42*$D42)</f>
        <v/>
      </c>
      <c r="Y42" s="16">
        <f>MIN(100,$E42*X42)</f>
        <v/>
      </c>
      <c r="Z42" s="39" t="n">
        <v>20</v>
      </c>
      <c r="AA42" s="12">
        <f>$C42*Z42</f>
        <v/>
      </c>
      <c r="AB42" s="15">
        <f>MIN(100,AA42*$D42)</f>
        <v/>
      </c>
      <c r="AC42" s="16">
        <f>MIN(100,$E42*AB42)</f>
        <v/>
      </c>
    </row>
    <row r="43" customFormat="1" s="39">
      <c r="A43" s="34">
        <f>'2_MechAdd_Script'!A43</f>
        <v/>
      </c>
      <c r="B43" t="inlineStr">
        <is>
          <t>1Herb_Live</t>
        </is>
      </c>
      <c r="C43" s="4" t="n">
        <v>0.25</v>
      </c>
      <c r="D43" s="8">
        <f>1/0.25</f>
        <v/>
      </c>
      <c r="E43" s="31" t="n"/>
      <c r="F43" s="39" t="n">
        <v>95</v>
      </c>
      <c r="G43" s="12">
        <f>$C43*F43</f>
        <v/>
      </c>
      <c r="H43" s="15">
        <f>MIN(100,G43*$D43)</f>
        <v/>
      </c>
      <c r="I43" s="16">
        <f>H43</f>
        <v/>
      </c>
      <c r="K43" s="12">
        <f>$C43*J43</f>
        <v/>
      </c>
      <c r="L43" s="15">
        <f>MIN(100,K43*$D43)</f>
        <v/>
      </c>
      <c r="M43" s="16">
        <f>L43</f>
        <v/>
      </c>
      <c r="N43" s="39" t="n">
        <v>85</v>
      </c>
      <c r="O43" s="12">
        <f>$C43*N43</f>
        <v/>
      </c>
      <c r="P43" s="15">
        <f>MIN(100,O43*$D43)</f>
        <v/>
      </c>
      <c r="Q43" s="16">
        <f>P43</f>
        <v/>
      </c>
      <c r="R43" s="39" t="n">
        <v>90</v>
      </c>
      <c r="S43" s="12">
        <f>$C43*R43</f>
        <v/>
      </c>
      <c r="T43" s="15">
        <f>MIN(100,S43*$D43)</f>
        <v/>
      </c>
      <c r="U43" s="16">
        <f>T43</f>
        <v/>
      </c>
      <c r="V43" s="39" t="n">
        <v>80</v>
      </c>
      <c r="W43" s="12">
        <f>$C43*V43</f>
        <v/>
      </c>
      <c r="X43" s="15">
        <f>MIN(100,W43*$D43)</f>
        <v/>
      </c>
      <c r="Y43" s="16">
        <f>X43</f>
        <v/>
      </c>
      <c r="Z43" s="39" t="n">
        <v>60</v>
      </c>
      <c r="AA43" s="12">
        <f>$C43*Z43</f>
        <v/>
      </c>
      <c r="AB43" s="15">
        <f>MIN(100,AA43*$D43)</f>
        <v/>
      </c>
      <c r="AC43" s="16">
        <f>AB43</f>
        <v/>
      </c>
    </row>
    <row r="44" customFormat="1" s="39">
      <c r="A44" s="34">
        <f>'2_MechAdd_Script'!A44</f>
        <v/>
      </c>
      <c r="B44" t="inlineStr">
        <is>
          <t>2Herb_Height</t>
        </is>
      </c>
      <c r="C44" s="4" t="n"/>
      <c r="D44" s="8" t="n"/>
      <c r="E44" s="31" t="n"/>
      <c r="F44" s="39" t="n">
        <v>0.9</v>
      </c>
      <c r="G44" s="12">
        <f>F44</f>
        <v/>
      </c>
      <c r="H44" s="15">
        <f>G44</f>
        <v/>
      </c>
      <c r="I44" s="16">
        <f>H44</f>
        <v/>
      </c>
      <c r="K44" s="12">
        <f>J44</f>
        <v/>
      </c>
      <c r="L44" s="15">
        <f>K44</f>
        <v/>
      </c>
      <c r="M44" s="16">
        <f>L44</f>
        <v/>
      </c>
      <c r="N44" s="39" t="n">
        <v>1</v>
      </c>
      <c r="O44" s="12">
        <f>N44</f>
        <v/>
      </c>
      <c r="P44" s="15">
        <f>O44</f>
        <v/>
      </c>
      <c r="Q44" s="16">
        <f>P44</f>
        <v/>
      </c>
      <c r="R44" s="39" t="n">
        <v>0.5</v>
      </c>
      <c r="S44" s="12">
        <f>R44</f>
        <v/>
      </c>
      <c r="T44" s="15">
        <f>S44</f>
        <v/>
      </c>
      <c r="U44" s="16">
        <f>T44</f>
        <v/>
      </c>
      <c r="W44" s="12">
        <f>V44</f>
        <v/>
      </c>
      <c r="X44" s="15">
        <f>W44</f>
        <v/>
      </c>
      <c r="Y44" s="16">
        <f>X44</f>
        <v/>
      </c>
      <c r="Z44" s="39" t="n">
        <v>1</v>
      </c>
      <c r="AA44" s="12">
        <f>Z44</f>
        <v/>
      </c>
      <c r="AB44" s="15">
        <f>AA44</f>
        <v/>
      </c>
      <c r="AC44" s="16">
        <f>AB44</f>
        <v/>
      </c>
    </row>
    <row r="45" customFormat="1" s="39">
      <c r="A45" s="34">
        <f>'2_MechAdd_Script'!A45</f>
        <v/>
      </c>
      <c r="B45" t="inlineStr">
        <is>
          <t>2Herb_Load</t>
        </is>
      </c>
      <c r="C45" s="4" t="n">
        <v>0.25</v>
      </c>
      <c r="D45" s="8" t="n">
        <v>1.5</v>
      </c>
      <c r="E45" s="31" t="n">
        <v>1.5</v>
      </c>
      <c r="F45" s="39" t="n">
        <v>0.1</v>
      </c>
      <c r="G45" s="12">
        <f>$C45*F45</f>
        <v/>
      </c>
      <c r="H45" s="15">
        <f>G45*$D45</f>
        <v/>
      </c>
      <c r="I45" s="16">
        <f>$E45*H45</f>
        <v/>
      </c>
      <c r="K45" s="12">
        <f>$C45*J45</f>
        <v/>
      </c>
      <c r="L45" s="15">
        <f>K45*$D45</f>
        <v/>
      </c>
      <c r="M45" s="16">
        <f>$E45*L45</f>
        <v/>
      </c>
      <c r="N45" s="39" t="n">
        <v>0.01</v>
      </c>
      <c r="O45" s="12">
        <f>$C45*N45</f>
        <v/>
      </c>
      <c r="P45" s="15">
        <f>O45*$D45</f>
        <v/>
      </c>
      <c r="Q45" s="16">
        <f>$E45*P45</f>
        <v/>
      </c>
      <c r="R45" s="39" t="n">
        <v>0.02</v>
      </c>
      <c r="S45" s="12">
        <f>$C45*R45</f>
        <v/>
      </c>
      <c r="T45" s="15">
        <f>S45*$D45</f>
        <v/>
      </c>
      <c r="U45" s="16">
        <f>$E45*T45</f>
        <v/>
      </c>
      <c r="W45" s="12">
        <f>$C45*V45</f>
        <v/>
      </c>
      <c r="X45" s="15">
        <f>W45*$D45</f>
        <v/>
      </c>
      <c r="Y45" s="16">
        <f>$E45*X45</f>
        <v/>
      </c>
      <c r="Z45" s="39" t="n">
        <v>0.1</v>
      </c>
      <c r="AA45" s="12">
        <f>$C45*Z45</f>
        <v/>
      </c>
      <c r="AB45" s="15">
        <f>AA45*$D45</f>
        <v/>
      </c>
      <c r="AC45" s="16">
        <f>$E45*AB45</f>
        <v/>
      </c>
    </row>
    <row r="46" customFormat="1" s="39">
      <c r="A46" s="34">
        <f>'2_MechAdd_Script'!A46</f>
        <v/>
      </c>
      <c r="B46" t="inlineStr">
        <is>
          <t>2Herb_Cover</t>
        </is>
      </c>
      <c r="C46" s="4" t="n">
        <v>0.25</v>
      </c>
      <c r="D46" s="8" t="n">
        <v>1.5</v>
      </c>
      <c r="E46" s="31" t="n">
        <v>1.5</v>
      </c>
      <c r="F46" s="39" t="n">
        <v>0.2</v>
      </c>
      <c r="G46" s="12">
        <f>$C46*F46</f>
        <v/>
      </c>
      <c r="H46" s="15">
        <f>MIN(100,G46*$D46)</f>
        <v/>
      </c>
      <c r="I46" s="16">
        <f>MIN(100,$E46*H46)</f>
        <v/>
      </c>
      <c r="K46" s="12">
        <f>$C46*J46</f>
        <v/>
      </c>
      <c r="L46" s="15">
        <f>MIN(100,K46*$D46)</f>
        <v/>
      </c>
      <c r="M46" s="16">
        <f>MIN(100,$E46*L46)</f>
        <v/>
      </c>
      <c r="N46" s="39" t="n">
        <v>8</v>
      </c>
      <c r="O46" s="12">
        <f>$C46*N46</f>
        <v/>
      </c>
      <c r="P46" s="15">
        <f>MIN(100,O46*$D46)</f>
        <v/>
      </c>
      <c r="Q46" s="16">
        <f>MIN(100,$E46*P46)</f>
        <v/>
      </c>
      <c r="R46" s="39" t="n">
        <v>5</v>
      </c>
      <c r="S46" s="12">
        <f>$C46*R46</f>
        <v/>
      </c>
      <c r="T46" s="15">
        <f>MIN(100,S46*$D46)</f>
        <v/>
      </c>
      <c r="U46" s="16">
        <f>MIN(100,$E46*T46)</f>
        <v/>
      </c>
      <c r="W46" s="12">
        <f>$C46*V46</f>
        <v/>
      </c>
      <c r="X46" s="15">
        <f>MIN(100,W46*$D46)</f>
        <v/>
      </c>
      <c r="Y46" s="16">
        <f>MIN(100,$E46*X46)</f>
        <v/>
      </c>
      <c r="Z46" s="39" t="n">
        <v>20</v>
      </c>
      <c r="AA46" s="12">
        <f>$C46*Z46</f>
        <v/>
      </c>
      <c r="AB46" s="15">
        <f>MIN(100,AA46*$D46)</f>
        <v/>
      </c>
      <c r="AC46" s="16">
        <f>MIN(100,$E46*AB46)</f>
        <v/>
      </c>
    </row>
    <row r="47" customFormat="1" s="39">
      <c r="A47" s="34">
        <f>'2_MechAdd_Script'!A47</f>
        <v/>
      </c>
      <c r="B47" t="inlineStr">
        <is>
          <t>2Herb_Live</t>
        </is>
      </c>
      <c r="C47" s="4" t="n">
        <v>0.25</v>
      </c>
      <c r="D47" s="8">
        <f>1/0.25</f>
        <v/>
      </c>
      <c r="E47" s="31" t="n"/>
      <c r="F47" s="39" t="n">
        <v>85</v>
      </c>
      <c r="G47" s="12">
        <f>$C47*F47</f>
        <v/>
      </c>
      <c r="H47" s="15">
        <f>MIN(100,G47*$D47)</f>
        <v/>
      </c>
      <c r="I47" s="16">
        <f>H47</f>
        <v/>
      </c>
      <c r="K47" s="12">
        <f>$C47*J47</f>
        <v/>
      </c>
      <c r="L47" s="15">
        <f>MIN(100,K47*$D47)</f>
        <v/>
      </c>
      <c r="M47" s="16">
        <f>L47</f>
        <v/>
      </c>
      <c r="N47" s="39" t="n">
        <v>70</v>
      </c>
      <c r="O47" s="12">
        <f>$C47*N47</f>
        <v/>
      </c>
      <c r="P47" s="15">
        <f>MIN(100,O47*$D47)</f>
        <v/>
      </c>
      <c r="Q47" s="16">
        <f>P47</f>
        <v/>
      </c>
      <c r="R47" s="39" t="n">
        <v>90</v>
      </c>
      <c r="S47" s="12">
        <f>$C47*R47</f>
        <v/>
      </c>
      <c r="T47" s="15">
        <f>MIN(100,S47*$D47)</f>
        <v/>
      </c>
      <c r="U47" s="16">
        <f>T47</f>
        <v/>
      </c>
      <c r="W47" s="12">
        <f>$C47*V47</f>
        <v/>
      </c>
      <c r="X47" s="15">
        <f>MIN(100,W47*$D47)</f>
        <v/>
      </c>
      <c r="Y47" s="16">
        <f>X47</f>
        <v/>
      </c>
      <c r="Z47" s="39" t="n">
        <v>60</v>
      </c>
      <c r="AA47" s="12">
        <f>$C47*Z47</f>
        <v/>
      </c>
      <c r="AB47" s="15">
        <f>MIN(100,AA47*$D47)</f>
        <v/>
      </c>
      <c r="AC47" s="16">
        <f>AB47</f>
        <v/>
      </c>
    </row>
    <row r="48" customFormat="1" s="39">
      <c r="A48" s="34">
        <f>'2_MechAdd_Script'!A48</f>
        <v/>
      </c>
      <c r="B48" t="inlineStr">
        <is>
          <t>FineWood_Depth</t>
        </is>
      </c>
      <c r="C48" s="4" t="n">
        <v>2</v>
      </c>
      <c r="D48" s="8" t="n">
        <v>0.75</v>
      </c>
      <c r="E48" s="31" t="n">
        <v>0.5</v>
      </c>
      <c r="F48" s="39" t="n">
        <v>4</v>
      </c>
      <c r="G48" s="12">
        <f>$C48*F48</f>
        <v/>
      </c>
      <c r="H48" s="15">
        <f>G48*$D48</f>
        <v/>
      </c>
      <c r="I48" s="16">
        <f>$E48*H48</f>
        <v/>
      </c>
      <c r="J48" s="39" t="n">
        <v>1</v>
      </c>
      <c r="K48" s="12">
        <f>$C48*J48</f>
        <v/>
      </c>
      <c r="L48" s="15">
        <f>K48*$D48</f>
        <v/>
      </c>
      <c r="M48" s="16">
        <f>$E48*L48</f>
        <v/>
      </c>
      <c r="O48" s="12">
        <f>$C48*N48</f>
        <v/>
      </c>
      <c r="P48" s="15">
        <f>O48*$D48</f>
        <v/>
      </c>
      <c r="Q48" s="16">
        <f>$E48*P48</f>
        <v/>
      </c>
      <c r="R48" s="39" t="n">
        <v>0.5</v>
      </c>
      <c r="S48" s="12">
        <f>$C48*R48</f>
        <v/>
      </c>
      <c r="T48" s="15">
        <f>S48*$D48</f>
        <v/>
      </c>
      <c r="U48" s="16">
        <f>$E48*T48</f>
        <v/>
      </c>
      <c r="V48" s="39" t="n">
        <v>1</v>
      </c>
      <c r="W48" s="12">
        <f>$C48*V48</f>
        <v/>
      </c>
      <c r="X48" s="15">
        <f>W48*$D48</f>
        <v/>
      </c>
      <c r="Y48" s="16">
        <f>$E48*X48</f>
        <v/>
      </c>
      <c r="Z48" s="39" t="n">
        <v>0.5</v>
      </c>
      <c r="AA48" s="12">
        <f>$C48*Z48</f>
        <v/>
      </c>
      <c r="AB48" s="15">
        <f>AA48*$D48</f>
        <v/>
      </c>
      <c r="AC48" s="16">
        <f>$E48*AB48</f>
        <v/>
      </c>
    </row>
    <row r="49" customFormat="1" s="39">
      <c r="A49" s="34">
        <f>'2_MechAdd_Script'!A49</f>
        <v/>
      </c>
      <c r="B49" t="inlineStr">
        <is>
          <t>FineWood_Cover</t>
        </is>
      </c>
      <c r="C49" s="4" t="n">
        <v>2</v>
      </c>
      <c r="D49" s="8" t="n">
        <v>0.75</v>
      </c>
      <c r="E49" s="31" t="n">
        <v>0.5</v>
      </c>
      <c r="F49" s="39" t="n">
        <v>70</v>
      </c>
      <c r="G49" s="12">
        <f>MIN(100,$C49*F49)</f>
        <v/>
      </c>
      <c r="H49" s="15">
        <f>MIN(100,G49*$D49)</f>
        <v/>
      </c>
      <c r="I49" s="16">
        <f>MIN(100,$E49*H49)</f>
        <v/>
      </c>
      <c r="J49" s="39" t="n">
        <v>50</v>
      </c>
      <c r="K49" s="12">
        <f>MIN(100,$C49*J49)</f>
        <v/>
      </c>
      <c r="L49" s="15">
        <f>MIN(100,K49*$D49)</f>
        <v/>
      </c>
      <c r="M49" s="16">
        <f>MIN(100,$E49*L49)</f>
        <v/>
      </c>
      <c r="O49" s="12">
        <f>MIN(100,$C49*N49)</f>
        <v/>
      </c>
      <c r="P49" s="15">
        <f>MIN(100,O49*$D49)</f>
        <v/>
      </c>
      <c r="Q49" s="16">
        <f>MIN(100,$E49*P49)</f>
        <v/>
      </c>
      <c r="R49" s="39" t="n">
        <v>30</v>
      </c>
      <c r="S49" s="12">
        <f>MIN(100,$C49*R49)</f>
        <v/>
      </c>
      <c r="T49" s="15">
        <f>MIN(100,S49*$D49)</f>
        <v/>
      </c>
      <c r="U49" s="16">
        <f>MIN(100,$E49*T49)</f>
        <v/>
      </c>
      <c r="V49" s="39" t="n">
        <v>40</v>
      </c>
      <c r="W49" s="12">
        <f>MIN(100,$C49*V49)</f>
        <v/>
      </c>
      <c r="X49" s="15">
        <f>MIN(100,W49*$D49)</f>
        <v/>
      </c>
      <c r="Y49" s="16">
        <f>MIN(100,$E49*X49)</f>
        <v/>
      </c>
      <c r="Z49" s="39" t="n">
        <v>15</v>
      </c>
      <c r="AA49" s="12">
        <f>MIN(100,$C49*Z49)</f>
        <v/>
      </c>
      <c r="AB49" s="15">
        <f>MIN(100,AA49*$D49)</f>
        <v/>
      </c>
      <c r="AC49" s="16">
        <f>MIN(100,$E49*AB49)</f>
        <v/>
      </c>
    </row>
    <row r="50" customFormat="1" s="39">
      <c r="A50" s="34">
        <f>'2_MechAdd_Script'!A50</f>
        <v/>
      </c>
      <c r="B50" t="inlineStr">
        <is>
          <t>SWood_100hr</t>
        </is>
      </c>
      <c r="C50" s="4" t="n">
        <v>2</v>
      </c>
      <c r="D50" s="8" t="n">
        <v>0.75</v>
      </c>
      <c r="E50" s="31" t="n">
        <v>0.5</v>
      </c>
      <c r="F50" s="39" t="n">
        <v>2</v>
      </c>
      <c r="G50" s="12">
        <f>MAX(1.5,$C50*F50)</f>
        <v/>
      </c>
      <c r="H50" s="15">
        <f>G50*$D50</f>
        <v/>
      </c>
      <c r="I50" s="16">
        <f>$E50*H50</f>
        <v/>
      </c>
      <c r="J50" s="39" t="n">
        <v>1</v>
      </c>
      <c r="K50" s="12">
        <f>MAX(1.5,$C50*J50)</f>
        <v/>
      </c>
      <c r="L50" s="15">
        <f>K50*$D50</f>
        <v/>
      </c>
      <c r="M50" s="16">
        <f>$E50*L50</f>
        <v/>
      </c>
      <c r="O50" s="12">
        <f>MAX(1.5,$C50*N50)</f>
        <v/>
      </c>
      <c r="P50" s="15">
        <f>O50*$D50</f>
        <v/>
      </c>
      <c r="Q50" s="16">
        <f>$E50*P50</f>
        <v/>
      </c>
      <c r="R50" s="39" t="n">
        <v>0.5</v>
      </c>
      <c r="S50" s="12">
        <f>MAX(1.5,$C50*R50)</f>
        <v/>
      </c>
      <c r="T50" s="15">
        <f>S50*$D50</f>
        <v/>
      </c>
      <c r="U50" s="16">
        <f>$E50*T50</f>
        <v/>
      </c>
      <c r="V50" s="39" t="n">
        <v>1</v>
      </c>
      <c r="W50" s="12">
        <f>MAX(1.5,$C50*V50)</f>
        <v/>
      </c>
      <c r="X50" s="15">
        <f>W50*$D50</f>
        <v/>
      </c>
      <c r="Y50" s="16">
        <f>$E50*X50</f>
        <v/>
      </c>
      <c r="Z50" s="39" t="n">
        <v>0.3</v>
      </c>
      <c r="AA50" s="12">
        <f>MAX(1.5,$C50*Z50)</f>
        <v/>
      </c>
      <c r="AB50" s="15">
        <f>AA50*$D50</f>
        <v/>
      </c>
      <c r="AC50" s="16">
        <f>$E50*AB50</f>
        <v/>
      </c>
    </row>
    <row r="51" customFormat="1" s="39">
      <c r="A51" s="34">
        <f>'2_MechAdd_Script'!A51</f>
        <v/>
      </c>
      <c r="B51" t="inlineStr">
        <is>
          <t>SWood_10hr</t>
        </is>
      </c>
      <c r="C51" s="4" t="n">
        <v>2</v>
      </c>
      <c r="D51" s="8" t="n">
        <v>0.75</v>
      </c>
      <c r="E51" s="31" t="n">
        <v>0.5</v>
      </c>
      <c r="F51" s="39" t="n">
        <v>1.5</v>
      </c>
      <c r="G51" s="12">
        <f>MAX(3,$C51*F51)</f>
        <v/>
      </c>
      <c r="H51" s="15">
        <f>G51*$D51</f>
        <v/>
      </c>
      <c r="I51" s="16">
        <f>$E51*H51</f>
        <v/>
      </c>
      <c r="J51" s="39" t="n">
        <v>1</v>
      </c>
      <c r="K51" s="12">
        <f>MAX(3,$C51*J51)</f>
        <v/>
      </c>
      <c r="L51" s="15">
        <f>K51*$D51</f>
        <v/>
      </c>
      <c r="M51" s="16">
        <f>$E51*L51</f>
        <v/>
      </c>
      <c r="O51" s="12">
        <f>MAX(3,$C51*N51)</f>
        <v/>
      </c>
      <c r="P51" s="15">
        <f>O51*$D51</f>
        <v/>
      </c>
      <c r="Q51" s="16">
        <f>$E51*P51</f>
        <v/>
      </c>
      <c r="R51" s="39" t="n">
        <v>0.2</v>
      </c>
      <c r="S51" s="12">
        <f>MAX(3,$C51*R51)</f>
        <v/>
      </c>
      <c r="T51" s="15">
        <f>S51*$D51</f>
        <v/>
      </c>
      <c r="U51" s="16">
        <f>$E51*T51</f>
        <v/>
      </c>
      <c r="V51" s="39" t="n">
        <v>0.5</v>
      </c>
      <c r="W51" s="12">
        <f>MAX(3,$C51*V51)</f>
        <v/>
      </c>
      <c r="X51" s="15">
        <f>W51*$D51</f>
        <v/>
      </c>
      <c r="Y51" s="16">
        <f>$E51*X51</f>
        <v/>
      </c>
      <c r="Z51" s="39" t="n">
        <v>0.4</v>
      </c>
      <c r="AA51" s="12">
        <f>MAX(3,$C51*Z51)</f>
        <v/>
      </c>
      <c r="AB51" s="15">
        <f>AA51*$D51</f>
        <v/>
      </c>
      <c r="AC51" s="16">
        <f>$E51*AB51</f>
        <v/>
      </c>
    </row>
    <row r="52" customFormat="1" s="39">
      <c r="A52" s="34">
        <f>'2_MechAdd_Script'!A52</f>
        <v/>
      </c>
      <c r="B52" t="inlineStr">
        <is>
          <t>SWood_1hr</t>
        </is>
      </c>
      <c r="C52" s="4" t="n">
        <v>2</v>
      </c>
      <c r="D52" s="8" t="n">
        <v>0.75</v>
      </c>
      <c r="E52" s="31" t="n">
        <v>0.5</v>
      </c>
      <c r="F52" s="39" t="n">
        <v>1</v>
      </c>
      <c r="G52" s="12">
        <f>MAX(1.5,$C52*F52)</f>
        <v/>
      </c>
      <c r="H52" s="15">
        <f>G52*$D52</f>
        <v/>
      </c>
      <c r="I52" s="16">
        <f>$E52*H52</f>
        <v/>
      </c>
      <c r="J52" s="39" t="n">
        <v>0.5</v>
      </c>
      <c r="K52" s="12">
        <f>MAX(1.5,$C52*J52)</f>
        <v/>
      </c>
      <c r="L52" s="15">
        <f>K52*$D52</f>
        <v/>
      </c>
      <c r="M52" s="16">
        <f>$E52*L52</f>
        <v/>
      </c>
      <c r="O52" s="12">
        <f>MAX(1.5,$C52*N52)</f>
        <v/>
      </c>
      <c r="P52" s="15">
        <f>O52*$D52</f>
        <v/>
      </c>
      <c r="Q52" s="16">
        <f>$E52*P52</f>
        <v/>
      </c>
      <c r="R52" s="39" t="n">
        <v>0.1</v>
      </c>
      <c r="S52" s="12">
        <f>MAX(1.5,$C52*R52)</f>
        <v/>
      </c>
      <c r="T52" s="15">
        <f>S52*$D52</f>
        <v/>
      </c>
      <c r="U52" s="16">
        <f>$E52*T52</f>
        <v/>
      </c>
      <c r="V52" s="39" t="n">
        <v>0.3</v>
      </c>
      <c r="W52" s="12">
        <f>MAX(1.5,$C52*V52)</f>
        <v/>
      </c>
      <c r="X52" s="15">
        <f>W52*$D52</f>
        <v/>
      </c>
      <c r="Y52" s="16">
        <f>$E52*X52</f>
        <v/>
      </c>
      <c r="Z52" s="39" t="n">
        <v>0.02</v>
      </c>
      <c r="AA52" s="12">
        <f>MAX(1.5,$C52*Z52)</f>
        <v/>
      </c>
      <c r="AB52" s="15">
        <f>AA52*$D52</f>
        <v/>
      </c>
      <c r="AC52" s="16">
        <f>$E52*AB52</f>
        <v/>
      </c>
    </row>
    <row r="53" customFormat="1" s="39">
      <c r="A53" s="34">
        <f>'2_MechAdd_Script'!A53</f>
        <v/>
      </c>
      <c r="B53" t="inlineStr">
        <is>
          <t>SWood_1000hr</t>
        </is>
      </c>
      <c r="C53" s="4" t="n"/>
      <c r="D53" s="5" t="n">
        <v>0.75</v>
      </c>
      <c r="E53" s="32" t="n"/>
      <c r="F53" s="39" t="n">
        <v>6</v>
      </c>
      <c r="G53" s="12">
        <f>F53</f>
        <v/>
      </c>
      <c r="H53" s="15">
        <f>G53*$D53</f>
        <v/>
      </c>
      <c r="I53" s="16">
        <f>H53</f>
        <v/>
      </c>
      <c r="J53" s="39" t="n">
        <v>0</v>
      </c>
      <c r="K53" s="12">
        <f>J53</f>
        <v/>
      </c>
      <c r="L53" s="15">
        <f>K53*$D53</f>
        <v/>
      </c>
      <c r="M53" s="16">
        <f>L53</f>
        <v/>
      </c>
      <c r="O53" s="12">
        <f>N53</f>
        <v/>
      </c>
      <c r="P53" s="15">
        <f>O53*$D53</f>
        <v/>
      </c>
      <c r="Q53" s="16">
        <f>P53</f>
        <v/>
      </c>
      <c r="R53" s="39" t="n">
        <v>1</v>
      </c>
      <c r="S53" s="12">
        <f>R53</f>
        <v/>
      </c>
      <c r="T53" s="15">
        <f>S53*$D53</f>
        <v/>
      </c>
      <c r="U53" s="16">
        <f>T53</f>
        <v/>
      </c>
      <c r="V53" s="39" t="n">
        <v>1.2</v>
      </c>
      <c r="W53" s="12">
        <f>V53</f>
        <v/>
      </c>
      <c r="X53" s="15">
        <f>W53*$D53</f>
        <v/>
      </c>
      <c r="Y53" s="16">
        <f>X53</f>
        <v/>
      </c>
      <c r="Z53" s="39" t="n">
        <v>0.5</v>
      </c>
      <c r="AA53" s="12">
        <f>Z53</f>
        <v/>
      </c>
      <c r="AB53" s="15">
        <f>AA53*$D53</f>
        <v/>
      </c>
      <c r="AC53" s="16">
        <f>AB53</f>
        <v/>
      </c>
    </row>
    <row r="54" customFormat="1" s="39">
      <c r="A54" s="34">
        <f>'2_MechAdd_Script'!A54</f>
        <v/>
      </c>
      <c r="B54" t="inlineStr">
        <is>
          <t>SWood_10_000hr</t>
        </is>
      </c>
      <c r="C54" s="4" t="n"/>
      <c r="D54" s="5" t="n">
        <v>0.75</v>
      </c>
      <c r="E54" s="32" t="n"/>
      <c r="F54" s="39" t="n">
        <v>12</v>
      </c>
      <c r="G54" s="12">
        <f>F54</f>
        <v/>
      </c>
      <c r="H54" s="15">
        <f>G54*$D54</f>
        <v/>
      </c>
      <c r="I54" s="16">
        <f>H54</f>
        <v/>
      </c>
      <c r="J54" s="39" t="n">
        <v>0</v>
      </c>
      <c r="K54" s="12">
        <f>J54</f>
        <v/>
      </c>
      <c r="L54" s="15">
        <f>K54*$D54</f>
        <v/>
      </c>
      <c r="M54" s="16">
        <f>L54</f>
        <v/>
      </c>
      <c r="O54" s="12">
        <f>N54</f>
        <v/>
      </c>
      <c r="P54" s="15">
        <f>O54*$D54</f>
        <v/>
      </c>
      <c r="Q54" s="16">
        <f>P54</f>
        <v/>
      </c>
      <c r="R54" s="39" t="n">
        <v>0</v>
      </c>
      <c r="S54" s="12">
        <f>R54</f>
        <v/>
      </c>
      <c r="T54" s="15">
        <f>S54*$D54</f>
        <v/>
      </c>
      <c r="U54" s="16">
        <f>T54</f>
        <v/>
      </c>
      <c r="V54" s="39" t="n">
        <v>0.5</v>
      </c>
      <c r="W54" s="12">
        <f>V54</f>
        <v/>
      </c>
      <c r="X54" s="15">
        <f>W54*$D54</f>
        <v/>
      </c>
      <c r="Y54" s="16">
        <f>X54</f>
        <v/>
      </c>
      <c r="Z54" s="39" t="n">
        <v>0</v>
      </c>
      <c r="AA54" s="12">
        <f>Z54</f>
        <v/>
      </c>
      <c r="AB54" s="15">
        <f>AA54*$D54</f>
        <v/>
      </c>
      <c r="AC54" s="16">
        <f>AB54</f>
        <v/>
      </c>
    </row>
    <row r="55" customFormat="1" s="39">
      <c r="A55" s="34">
        <f>'2_MechAdd_Script'!A55</f>
        <v/>
      </c>
      <c r="B55" t="inlineStr">
        <is>
          <t>SWood_GT10_000hr</t>
        </is>
      </c>
      <c r="C55" s="4" t="n"/>
      <c r="D55" s="5" t="n">
        <v>0.75</v>
      </c>
      <c r="E55" s="32" t="n"/>
      <c r="F55" s="39" t="n">
        <v>0</v>
      </c>
      <c r="G55" s="12">
        <f>F55</f>
        <v/>
      </c>
      <c r="H55" s="15">
        <f>G55*$D55</f>
        <v/>
      </c>
      <c r="I55" s="16">
        <f>H55</f>
        <v/>
      </c>
      <c r="J55" s="39" t="n">
        <v>0</v>
      </c>
      <c r="K55" s="12">
        <f>J55</f>
        <v/>
      </c>
      <c r="L55" s="15">
        <f>K55*$D55</f>
        <v/>
      </c>
      <c r="M55" s="16">
        <f>L55</f>
        <v/>
      </c>
      <c r="O55" s="12">
        <f>N55</f>
        <v/>
      </c>
      <c r="P55" s="15">
        <f>O55*$D55</f>
        <v/>
      </c>
      <c r="Q55" s="16">
        <f>P55</f>
        <v/>
      </c>
      <c r="R55" s="39" t="n">
        <v>0</v>
      </c>
      <c r="S55" s="12">
        <f>R55</f>
        <v/>
      </c>
      <c r="T55" s="15">
        <f>S55*$D55</f>
        <v/>
      </c>
      <c r="U55" s="16">
        <f>T55</f>
        <v/>
      </c>
      <c r="V55" s="39" t="n">
        <v>0.5</v>
      </c>
      <c r="W55" s="12">
        <f>V55</f>
        <v/>
      </c>
      <c r="X55" s="15">
        <f>W55*$D55</f>
        <v/>
      </c>
      <c r="Y55" s="16">
        <f>X55</f>
        <v/>
      </c>
      <c r="Z55" s="39" t="n">
        <v>0</v>
      </c>
      <c r="AA55" s="12">
        <f>Z55</f>
        <v/>
      </c>
      <c r="AB55" s="15">
        <f>AA55*$D55</f>
        <v/>
      </c>
      <c r="AC55" s="16">
        <f>AB55</f>
        <v/>
      </c>
    </row>
    <row r="56" customFormat="1" s="39">
      <c r="A56" s="34">
        <f>'2_MechAdd_Script'!A56</f>
        <v/>
      </c>
      <c r="B56" t="inlineStr">
        <is>
          <t>RWood_1000hr</t>
        </is>
      </c>
      <c r="C56" s="4" t="n"/>
      <c r="D56" s="8" t="inlineStr">
        <is>
          <t>Add 0.25</t>
        </is>
      </c>
      <c r="E56" s="31" t="inlineStr">
        <is>
          <t>Add 0.5</t>
        </is>
      </c>
      <c r="F56" s="39" t="n">
        <v>5</v>
      </c>
      <c r="G56" s="12">
        <f>F56</f>
        <v/>
      </c>
      <c r="H56" s="15">
        <f>(G53*0.25)+G56</f>
        <v/>
      </c>
      <c r="I56" s="19">
        <f>(H53*0.5)+H56</f>
        <v/>
      </c>
      <c r="K56" s="12">
        <f>J56</f>
        <v/>
      </c>
      <c r="L56" s="15">
        <f>(K53*0.25)+K56</f>
        <v/>
      </c>
      <c r="M56" s="19">
        <f>(L53*0.5)+L56</f>
        <v/>
      </c>
      <c r="O56" s="12">
        <f>N56</f>
        <v/>
      </c>
      <c r="P56" s="15">
        <f>(O53*0.25)+O56</f>
        <v/>
      </c>
      <c r="Q56" s="19">
        <f>(P53*0.5)+P56</f>
        <v/>
      </c>
      <c r="R56" s="39" t="n">
        <v>0.5</v>
      </c>
      <c r="S56" s="12">
        <f>R56</f>
        <v/>
      </c>
      <c r="T56" s="15">
        <f>(S53*0.25)+S56</f>
        <v/>
      </c>
      <c r="U56" s="19">
        <f>(T53*0.5)+T56</f>
        <v/>
      </c>
      <c r="V56" s="39" t="n">
        <v>0.75</v>
      </c>
      <c r="W56" s="12">
        <f>V56</f>
        <v/>
      </c>
      <c r="X56" s="15">
        <f>(W53*0.25)+W56</f>
        <v/>
      </c>
      <c r="Y56" s="19">
        <f>(X53*0.5)+X56</f>
        <v/>
      </c>
      <c r="AA56" s="12">
        <f>Z56</f>
        <v/>
      </c>
      <c r="AB56" s="15">
        <f>(AA53*0.25)+AA56</f>
        <v/>
      </c>
      <c r="AC56" s="19">
        <f>(AB53*0.5)+AB56</f>
        <v/>
      </c>
    </row>
    <row r="57" customFormat="1" s="39">
      <c r="A57" s="34">
        <f>'2_MechAdd_Script'!A57</f>
        <v/>
      </c>
      <c r="B57" t="inlineStr">
        <is>
          <t>RWood_10_000hr</t>
        </is>
      </c>
      <c r="C57" s="4" t="n"/>
      <c r="D57" s="8" t="inlineStr">
        <is>
          <t>Add 0.25</t>
        </is>
      </c>
      <c r="E57" s="31" t="inlineStr">
        <is>
          <t>Add 0.5</t>
        </is>
      </c>
      <c r="F57" s="39" t="n">
        <v>11</v>
      </c>
      <c r="G57" s="12">
        <f>F57</f>
        <v/>
      </c>
      <c r="H57" s="15">
        <f>(G54*0.25)+G57</f>
        <v/>
      </c>
      <c r="I57" s="19">
        <f>(H54*0.5)+H57</f>
        <v/>
      </c>
      <c r="K57" s="12">
        <f>J57</f>
        <v/>
      </c>
      <c r="L57" s="15">
        <f>(K54*0.25)+K57</f>
        <v/>
      </c>
      <c r="M57" s="19">
        <f>(L54*0.5)+L57</f>
        <v/>
      </c>
      <c r="O57" s="12">
        <f>N57</f>
        <v/>
      </c>
      <c r="P57" s="15">
        <f>(O54*0.25)+O57</f>
        <v/>
      </c>
      <c r="Q57" s="19">
        <f>(P54*0.5)+P57</f>
        <v/>
      </c>
      <c r="R57" s="39" t="n">
        <v>0</v>
      </c>
      <c r="S57" s="12">
        <f>R57</f>
        <v/>
      </c>
      <c r="T57" s="15">
        <f>(S54*0.25)+S57</f>
        <v/>
      </c>
      <c r="U57" s="19">
        <f>(T54*0.5)+T57</f>
        <v/>
      </c>
      <c r="V57" s="39" t="n">
        <v>0.3</v>
      </c>
      <c r="W57" s="12">
        <f>V57</f>
        <v/>
      </c>
      <c r="X57" s="15">
        <f>(W54*0.25)+W57</f>
        <v/>
      </c>
      <c r="Y57" s="19">
        <f>(X54*0.5)+X57</f>
        <v/>
      </c>
      <c r="AA57" s="12">
        <f>Z57</f>
        <v/>
      </c>
      <c r="AB57" s="15">
        <f>(AA54*0.25)+AA57</f>
        <v/>
      </c>
      <c r="AC57" s="19">
        <f>(AB54*0.5)+AB57</f>
        <v/>
      </c>
    </row>
    <row r="58" customFormat="1" s="39">
      <c r="A58" s="34">
        <f>'2_MechAdd_Script'!A58</f>
        <v/>
      </c>
      <c r="B58" t="inlineStr">
        <is>
          <t>RWood_GT10_000hr</t>
        </is>
      </c>
      <c r="C58" s="4" t="n"/>
      <c r="D58" s="8" t="inlineStr">
        <is>
          <t>Add 0.25</t>
        </is>
      </c>
      <c r="E58" s="31" t="inlineStr">
        <is>
          <t>Add 0.5</t>
        </is>
      </c>
      <c r="F58" s="39" t="n">
        <v>0</v>
      </c>
      <c r="G58" s="12">
        <f>F58</f>
        <v/>
      </c>
      <c r="H58" s="15">
        <f>(G55*0.25)+G58</f>
        <v/>
      </c>
      <c r="I58" s="19">
        <f>(H55*0.5)+H58</f>
        <v/>
      </c>
      <c r="K58" s="12">
        <f>J58</f>
        <v/>
      </c>
      <c r="L58" s="15">
        <f>(K55*0.25)+K58</f>
        <v/>
      </c>
      <c r="M58" s="19">
        <f>(L55*0.5)+L58</f>
        <v/>
      </c>
      <c r="O58" s="12">
        <f>N58</f>
        <v/>
      </c>
      <c r="P58" s="15">
        <f>(O55*0.25)+O58</f>
        <v/>
      </c>
      <c r="Q58" s="19">
        <f>(P55*0.5)+P58</f>
        <v/>
      </c>
      <c r="R58" s="39" t="n">
        <v>0</v>
      </c>
      <c r="S58" s="12">
        <f>R58</f>
        <v/>
      </c>
      <c r="T58" s="15">
        <f>(S55*0.25)+S58</f>
        <v/>
      </c>
      <c r="U58" s="19">
        <f>(T55*0.5)+T58</f>
        <v/>
      </c>
      <c r="V58" s="39" t="n">
        <v>0</v>
      </c>
      <c r="W58" s="12">
        <f>V58</f>
        <v/>
      </c>
      <c r="X58" s="15">
        <f>(W55*0.25)+W58</f>
        <v/>
      </c>
      <c r="Y58" s="19">
        <f>(X55*0.5)+X58</f>
        <v/>
      </c>
      <c r="AA58" s="12">
        <f>Z58</f>
        <v/>
      </c>
      <c r="AB58" s="15">
        <f>(AA55*0.25)+AA58</f>
        <v/>
      </c>
      <c r="AC58" s="19">
        <f>(AB55*0.5)+AB58</f>
        <v/>
      </c>
    </row>
    <row r="59" customFormat="1" s="39">
      <c r="A59" s="34">
        <f>'2_MechAdd_Script'!A59</f>
        <v/>
      </c>
      <c r="B59" t="inlineStr">
        <is>
          <t>SStump_Diameter</t>
        </is>
      </c>
      <c r="C59" s="4" t="n"/>
      <c r="D59" s="5" t="n"/>
      <c r="E59" s="32" t="n">
        <v>0</v>
      </c>
      <c r="F59" s="39" t="n">
        <v>9.6</v>
      </c>
      <c r="G59" s="12">
        <f>F59</f>
        <v/>
      </c>
      <c r="H59" s="15">
        <f>G59</f>
        <v/>
      </c>
      <c r="I59" s="16">
        <f>$E59*H59</f>
        <v/>
      </c>
      <c r="K59" s="12">
        <f>J59</f>
        <v/>
      </c>
      <c r="L59" s="15">
        <f>K59</f>
        <v/>
      </c>
      <c r="M59" s="16">
        <f>$E59*L59</f>
        <v/>
      </c>
      <c r="O59" s="12">
        <f>N59</f>
        <v/>
      </c>
      <c r="P59" s="15">
        <f>O59</f>
        <v/>
      </c>
      <c r="Q59" s="16">
        <f>$E59*P59</f>
        <v/>
      </c>
      <c r="R59" s="39" t="n">
        <v>3.5</v>
      </c>
      <c r="S59" s="12">
        <f>R59</f>
        <v/>
      </c>
      <c r="T59" s="15">
        <f>S59</f>
        <v/>
      </c>
      <c r="U59" s="16">
        <f>$E59*T59</f>
        <v/>
      </c>
      <c r="W59" s="12">
        <f>V59</f>
        <v/>
      </c>
      <c r="X59" s="15">
        <f>W59</f>
        <v/>
      </c>
      <c r="Y59" s="16">
        <f>$E59*X59</f>
        <v/>
      </c>
      <c r="AA59" s="12">
        <f>Z59</f>
        <v/>
      </c>
      <c r="AB59" s="15">
        <f>AA59</f>
        <v/>
      </c>
      <c r="AC59" s="16">
        <f>$E59*AB59</f>
        <v/>
      </c>
    </row>
    <row r="60" customFormat="1" s="39">
      <c r="A60" s="34">
        <f>'2_MechAdd_Script'!A60</f>
        <v/>
      </c>
      <c r="B60" t="inlineStr">
        <is>
          <t>SStump_Height</t>
        </is>
      </c>
      <c r="C60" s="4" t="n"/>
      <c r="D60" s="5" t="n"/>
      <c r="E60" s="32" t="n">
        <v>0</v>
      </c>
      <c r="F60" s="39" t="n">
        <v>0.4</v>
      </c>
      <c r="G60" s="12">
        <f>F60</f>
        <v/>
      </c>
      <c r="H60" s="15">
        <f>G60</f>
        <v/>
      </c>
      <c r="I60" s="16">
        <f>$E60*H60</f>
        <v/>
      </c>
      <c r="K60" s="12">
        <f>J60</f>
        <v/>
      </c>
      <c r="L60" s="15">
        <f>K60</f>
        <v/>
      </c>
      <c r="M60" s="16">
        <f>$E60*L60</f>
        <v/>
      </c>
      <c r="O60" s="12">
        <f>N60</f>
        <v/>
      </c>
      <c r="P60" s="15">
        <f>O60</f>
        <v/>
      </c>
      <c r="Q60" s="16">
        <f>$E60*P60</f>
        <v/>
      </c>
      <c r="R60" s="39" t="n">
        <v>2</v>
      </c>
      <c r="S60" s="12">
        <f>R60</f>
        <v/>
      </c>
      <c r="T60" s="15">
        <f>S60</f>
        <v/>
      </c>
      <c r="U60" s="16">
        <f>$E60*T60</f>
        <v/>
      </c>
      <c r="W60" s="12">
        <f>V60</f>
        <v/>
      </c>
      <c r="X60" s="15">
        <f>W60</f>
        <v/>
      </c>
      <c r="Y60" s="16">
        <f>$E60*X60</f>
        <v/>
      </c>
      <c r="AA60" s="12">
        <f>Z60</f>
        <v/>
      </c>
      <c r="AB60" s="15">
        <f>AA60</f>
        <v/>
      </c>
      <c r="AC60" s="16">
        <f>$E60*AB60</f>
        <v/>
      </c>
    </row>
    <row r="61" customFormat="1" s="39">
      <c r="A61" s="34">
        <f>'2_MechAdd_Script'!A61</f>
        <v/>
      </c>
      <c r="B61" t="inlineStr">
        <is>
          <t>SStump_Density</t>
        </is>
      </c>
      <c r="C61" s="4" t="inlineStr">
        <is>
          <t>Add 0.75 Over Mid Density</t>
        </is>
      </c>
      <c r="D61" s="5" t="n"/>
      <c r="E61" s="32" t="n">
        <v>0</v>
      </c>
      <c r="F61" s="39" t="n">
        <v>115</v>
      </c>
      <c r="G61" s="12">
        <f>F61+(F7*0.75)+(F12*0.75)</f>
        <v/>
      </c>
      <c r="H61" s="15">
        <f>G61</f>
        <v/>
      </c>
      <c r="I61" s="16">
        <f>$E61*H61</f>
        <v/>
      </c>
      <c r="K61" s="12">
        <f>J61+(J7*0.75)+(J12*0.75)</f>
        <v/>
      </c>
      <c r="L61" s="15">
        <f>K61</f>
        <v/>
      </c>
      <c r="M61" s="16">
        <f>$E61*L61</f>
        <v/>
      </c>
      <c r="O61" s="12">
        <f>N61+(N7*0.75)+(N12*0.75)</f>
        <v/>
      </c>
      <c r="P61" s="15">
        <f>O61</f>
        <v/>
      </c>
      <c r="Q61" s="16">
        <f>$E61*P61</f>
        <v/>
      </c>
      <c r="R61" s="39" t="n">
        <v>50</v>
      </c>
      <c r="S61" s="12">
        <f>R61+(R7*0.75)+(R12*0.75)</f>
        <v/>
      </c>
      <c r="T61" s="15">
        <f>S61</f>
        <v/>
      </c>
      <c r="U61" s="16">
        <f>$E61*T61</f>
        <v/>
      </c>
      <c r="W61" s="12">
        <f>V61+(V7*0.75)+(V12*0.75)</f>
        <v/>
      </c>
      <c r="X61" s="15">
        <f>W61</f>
        <v/>
      </c>
      <c r="Y61" s="16">
        <f>$E61*X61</f>
        <v/>
      </c>
      <c r="AA61" s="12">
        <f>Z61+(Z7*0.75)+(Z12*0.75)</f>
        <v/>
      </c>
      <c r="AB61" s="15">
        <f>AA61</f>
        <v/>
      </c>
      <c r="AC61" s="16">
        <f>$E61*AB61</f>
        <v/>
      </c>
    </row>
    <row r="62" customFormat="1" s="39">
      <c r="A62" s="34">
        <f>'2_MechAdd_Script'!A62</f>
        <v/>
      </c>
      <c r="B62" t="inlineStr">
        <is>
          <t>RStump_Diameter</t>
        </is>
      </c>
      <c r="C62" s="4" t="n"/>
      <c r="D62" s="5" t="n"/>
      <c r="E62" s="32" t="n"/>
      <c r="F62" s="39" t="n">
        <v>9.6</v>
      </c>
      <c r="G62" s="12">
        <f>F62</f>
        <v/>
      </c>
      <c r="H62" s="15">
        <f>G62</f>
        <v/>
      </c>
      <c r="I62" s="42">
        <f>IF(H62&gt;0,H62,IF(H64+H61=0,0,H59))</f>
        <v/>
      </c>
      <c r="K62" s="12">
        <f>J62</f>
        <v/>
      </c>
      <c r="L62" s="15">
        <f>K62</f>
        <v/>
      </c>
      <c r="M62" s="42">
        <f>IF(L62&gt;0,L62,IF(L64+L61=0,0,L59))</f>
        <v/>
      </c>
      <c r="O62" s="12">
        <f>N62</f>
        <v/>
      </c>
      <c r="P62" s="15">
        <f>O62</f>
        <v/>
      </c>
      <c r="Q62" s="42">
        <f>IF(P62&gt;0,P62,IF(P64+P61=0,0,P59))</f>
        <v/>
      </c>
      <c r="R62" s="39" t="n">
        <v>3.5</v>
      </c>
      <c r="S62" s="12">
        <f>R62</f>
        <v/>
      </c>
      <c r="T62" s="15">
        <f>S62</f>
        <v/>
      </c>
      <c r="U62" s="42">
        <f>IF(T62&gt;0,T62,IF(T64+T61=0,0,T59))</f>
        <v/>
      </c>
      <c r="V62" s="39" t="n">
        <v>10</v>
      </c>
      <c r="W62" s="12">
        <f>V62</f>
        <v/>
      </c>
      <c r="X62" s="15">
        <f>W62</f>
        <v/>
      </c>
      <c r="Y62" s="42">
        <f>IF(X62&gt;0,X62,IF(X64+X61=0,0,X59))</f>
        <v/>
      </c>
      <c r="Z62" s="39" t="n">
        <v>10</v>
      </c>
      <c r="AA62" s="12">
        <f>Z62</f>
        <v/>
      </c>
      <c r="AB62" s="15">
        <f>AA62</f>
        <v/>
      </c>
      <c r="AC62" s="42">
        <f>IF(AB62&gt;0,AB62,IF(AB64+AB61=0,0,AB59))</f>
        <v/>
      </c>
    </row>
    <row r="63" customFormat="1" s="39">
      <c r="A63" s="34">
        <f>'2_MechAdd_Script'!A63</f>
        <v/>
      </c>
      <c r="B63" t="inlineStr">
        <is>
          <t>RStump_Height</t>
        </is>
      </c>
      <c r="C63" s="4" t="n"/>
      <c r="D63" s="5" t="n"/>
      <c r="E63" s="32" t="n"/>
      <c r="F63" s="39" t="n">
        <v>0.4</v>
      </c>
      <c r="G63" s="12">
        <f>F63</f>
        <v/>
      </c>
      <c r="H63" s="15">
        <f>G63</f>
        <v/>
      </c>
      <c r="I63" s="42">
        <f>IF(H63&gt;0,H63,IF(H64+H61=0,0,H60))</f>
        <v/>
      </c>
      <c r="K63" s="12">
        <f>J63</f>
        <v/>
      </c>
      <c r="L63" s="15">
        <f>K63</f>
        <v/>
      </c>
      <c r="M63" s="42">
        <f>IF(L63&gt;0,L63,IF(L64+L61=0,0,L60))</f>
        <v/>
      </c>
      <c r="O63" s="12">
        <f>N63</f>
        <v/>
      </c>
      <c r="P63" s="15">
        <f>O63</f>
        <v/>
      </c>
      <c r="Q63" s="42">
        <f>IF(P63&gt;0,P63,IF(P64+P61=0,0,P60))</f>
        <v/>
      </c>
      <c r="R63" s="39" t="n">
        <v>2</v>
      </c>
      <c r="S63" s="12">
        <f>R63</f>
        <v/>
      </c>
      <c r="T63" s="15">
        <f>S63</f>
        <v/>
      </c>
      <c r="U63" s="42">
        <f>IF(T63&gt;0,T63,IF(T64+T61=0,0,T60))</f>
        <v/>
      </c>
      <c r="V63" s="39" t="n">
        <v>1</v>
      </c>
      <c r="W63" s="12">
        <f>V63</f>
        <v/>
      </c>
      <c r="X63" s="15">
        <f>W63</f>
        <v/>
      </c>
      <c r="Y63" s="42">
        <f>IF(X63&gt;0,X63,IF(X64+X61=0,0,X60))</f>
        <v/>
      </c>
      <c r="Z63" s="39" t="n">
        <v>1</v>
      </c>
      <c r="AA63" s="12">
        <f>Z63</f>
        <v/>
      </c>
      <c r="AB63" s="15">
        <f>AA63</f>
        <v/>
      </c>
      <c r="AC63" s="42">
        <f>IF(AB63&gt;0,AB63,IF(AB64+AB61=0,0,AB60))</f>
        <v/>
      </c>
    </row>
    <row r="64" customFormat="1" s="39">
      <c r="A64" s="34">
        <f>'2_MechAdd_Script'!A64</f>
        <v/>
      </c>
      <c r="B64" t="inlineStr">
        <is>
          <t>RStump_Density</t>
        </is>
      </c>
      <c r="C64" s="4" t="n"/>
      <c r="D64" s="5" t="n"/>
      <c r="E64" s="31" t="inlineStr">
        <is>
          <t>Add S Stump Density</t>
        </is>
      </c>
      <c r="F64" s="39" t="n">
        <v>115</v>
      </c>
      <c r="G64" s="12">
        <f>F64</f>
        <v/>
      </c>
      <c r="H64" s="15">
        <f>G64</f>
        <v/>
      </c>
      <c r="I64" s="16">
        <f>H64+H61</f>
        <v/>
      </c>
      <c r="K64" s="12">
        <f>J64</f>
        <v/>
      </c>
      <c r="L64" s="15">
        <f>K64</f>
        <v/>
      </c>
      <c r="M64" s="16">
        <f>L64+L61</f>
        <v/>
      </c>
      <c r="O64" s="12">
        <f>N64</f>
        <v/>
      </c>
      <c r="P64" s="15">
        <f>O64</f>
        <v/>
      </c>
      <c r="Q64" s="16">
        <f>P64+P61</f>
        <v/>
      </c>
      <c r="R64" s="39" t="n">
        <v>50</v>
      </c>
      <c r="S64" s="12">
        <f>R64</f>
        <v/>
      </c>
      <c r="T64" s="15">
        <f>S64</f>
        <v/>
      </c>
      <c r="U64" s="16">
        <f>T64+T61</f>
        <v/>
      </c>
      <c r="V64" s="39" t="n">
        <v>5</v>
      </c>
      <c r="W64" s="12">
        <f>V64</f>
        <v/>
      </c>
      <c r="X64" s="15">
        <f>W64</f>
        <v/>
      </c>
      <c r="Y64" s="16">
        <f>X64+X61</f>
        <v/>
      </c>
      <c r="Z64" s="39" t="n">
        <v>3</v>
      </c>
      <c r="AA64" s="12">
        <f>Z64</f>
        <v/>
      </c>
      <c r="AB64" s="15">
        <f>AA64</f>
        <v/>
      </c>
      <c r="AC64" s="16">
        <f>AB64+AB61</f>
        <v/>
      </c>
    </row>
    <row r="65" customFormat="1" s="39">
      <c r="A65" s="34">
        <f>'2_MechAdd_Script'!A65</f>
        <v/>
      </c>
      <c r="B65" t="inlineStr">
        <is>
          <t>LStump_Diameter</t>
        </is>
      </c>
      <c r="C65" s="4" t="n"/>
      <c r="D65" s="5" t="n"/>
      <c r="E65" s="32" t="n"/>
      <c r="G65" s="12">
        <f>F65</f>
        <v/>
      </c>
      <c r="H65" s="15">
        <f>G65</f>
        <v/>
      </c>
      <c r="I65" s="16">
        <f>H65</f>
        <v/>
      </c>
      <c r="K65" s="12">
        <f>J65</f>
        <v/>
      </c>
      <c r="L65" s="15">
        <f>K65</f>
        <v/>
      </c>
      <c r="M65" s="16">
        <f>L65</f>
        <v/>
      </c>
      <c r="O65" s="12">
        <f>N65</f>
        <v/>
      </c>
      <c r="P65" s="15">
        <f>O65</f>
        <v/>
      </c>
      <c r="Q65" s="16">
        <f>P65</f>
        <v/>
      </c>
      <c r="S65" s="12">
        <f>R65</f>
        <v/>
      </c>
      <c r="T65" s="15">
        <f>S65</f>
        <v/>
      </c>
      <c r="U65" s="16">
        <f>T65</f>
        <v/>
      </c>
      <c r="W65" s="12">
        <f>V65</f>
        <v/>
      </c>
      <c r="X65" s="15">
        <f>W65</f>
        <v/>
      </c>
      <c r="Y65" s="16">
        <f>X65</f>
        <v/>
      </c>
      <c r="AA65" s="12">
        <f>Z65</f>
        <v/>
      </c>
      <c r="AB65" s="15">
        <f>AA65</f>
        <v/>
      </c>
      <c r="AC65" s="16">
        <f>AB65</f>
        <v/>
      </c>
    </row>
    <row r="66" customFormat="1" s="39">
      <c r="A66" s="34">
        <f>'2_MechAdd_Script'!A66</f>
        <v/>
      </c>
      <c r="B66" t="inlineStr">
        <is>
          <t>LStump_Height</t>
        </is>
      </c>
      <c r="C66" s="4" t="n"/>
      <c r="D66" s="5" t="n"/>
      <c r="E66" s="32" t="n"/>
      <c r="G66" s="12">
        <f>F66</f>
        <v/>
      </c>
      <c r="H66" s="15">
        <f>G66</f>
        <v/>
      </c>
      <c r="I66" s="16">
        <f>H66</f>
        <v/>
      </c>
      <c r="K66" s="12">
        <f>J66</f>
        <v/>
      </c>
      <c r="L66" s="15">
        <f>K66</f>
        <v/>
      </c>
      <c r="M66" s="16">
        <f>L66</f>
        <v/>
      </c>
      <c r="O66" s="12">
        <f>N66</f>
        <v/>
      </c>
      <c r="P66" s="15">
        <f>O66</f>
        <v/>
      </c>
      <c r="Q66" s="16">
        <f>P66</f>
        <v/>
      </c>
      <c r="S66" s="12">
        <f>R66</f>
        <v/>
      </c>
      <c r="T66" s="15">
        <f>S66</f>
        <v/>
      </c>
      <c r="U66" s="16">
        <f>T66</f>
        <v/>
      </c>
      <c r="W66" s="12">
        <f>V66</f>
        <v/>
      </c>
      <c r="X66" s="15">
        <f>W66</f>
        <v/>
      </c>
      <c r="Y66" s="16">
        <f>X66</f>
        <v/>
      </c>
      <c r="AA66" s="12">
        <f>Z66</f>
        <v/>
      </c>
      <c r="AB66" s="15">
        <f>AA66</f>
        <v/>
      </c>
      <c r="AC66" s="16">
        <f>AB66</f>
        <v/>
      </c>
    </row>
    <row r="67" customFormat="1" s="39">
      <c r="A67" s="34">
        <f>'2_MechAdd_Script'!A67</f>
        <v/>
      </c>
      <c r="B67" t="inlineStr">
        <is>
          <t>LStump_Density</t>
        </is>
      </c>
      <c r="C67" s="4" t="n"/>
      <c r="D67" s="5" t="n"/>
      <c r="E67" s="32" t="n"/>
      <c r="G67" s="12">
        <f>F67</f>
        <v/>
      </c>
      <c r="H67" s="15">
        <f>G67</f>
        <v/>
      </c>
      <c r="I67" s="16">
        <f>H67</f>
        <v/>
      </c>
      <c r="K67" s="12">
        <f>J67</f>
        <v/>
      </c>
      <c r="L67" s="15">
        <f>K67</f>
        <v/>
      </c>
      <c r="M67" s="16">
        <f>L67</f>
        <v/>
      </c>
      <c r="O67" s="12">
        <f>N67</f>
        <v/>
      </c>
      <c r="P67" s="15">
        <f>O67</f>
        <v/>
      </c>
      <c r="Q67" s="16">
        <f>P67</f>
        <v/>
      </c>
      <c r="S67" s="12">
        <f>R67</f>
        <v/>
      </c>
      <c r="T67" s="15">
        <f>S67</f>
        <v/>
      </c>
      <c r="U67" s="16">
        <f>T67</f>
        <v/>
      </c>
      <c r="W67" s="12">
        <f>V67</f>
        <v/>
      </c>
      <c r="X67" s="15">
        <f>W67</f>
        <v/>
      </c>
      <c r="Y67" s="16">
        <f>X67</f>
        <v/>
      </c>
      <c r="AA67" s="12">
        <f>Z67</f>
        <v/>
      </c>
      <c r="AB67" s="15">
        <f>AA67</f>
        <v/>
      </c>
      <c r="AC67" s="16">
        <f>AB67</f>
        <v/>
      </c>
    </row>
    <row r="68" customFormat="1" s="39">
      <c r="A68" s="34">
        <f>'2_MechAdd_Script'!A68</f>
        <v/>
      </c>
      <c r="B68" t="inlineStr">
        <is>
          <t>CleanPile_Load</t>
        </is>
      </c>
      <c r="C68" s="4" t="n"/>
      <c r="D68" s="5" t="n"/>
      <c r="E68" s="32" t="n"/>
      <c r="F68" s="39" t="n">
        <v>0.07811899999999999</v>
      </c>
      <c r="G68" s="12">
        <f>F68</f>
        <v/>
      </c>
      <c r="H68" s="15">
        <f>G68</f>
        <v/>
      </c>
      <c r="I68" s="16">
        <f>H68</f>
        <v/>
      </c>
      <c r="J68" s="39" t="n">
        <v>0</v>
      </c>
      <c r="K68" s="12">
        <f>J68</f>
        <v/>
      </c>
      <c r="L68" s="15">
        <f>K68</f>
        <v/>
      </c>
      <c r="M68" s="16">
        <f>L68</f>
        <v/>
      </c>
      <c r="N68" s="39" t="n">
        <v>0</v>
      </c>
      <c r="O68" s="12">
        <f>N68</f>
        <v/>
      </c>
      <c r="P68" s="15">
        <f>O68</f>
        <v/>
      </c>
      <c r="Q68" s="16">
        <f>P68</f>
        <v/>
      </c>
      <c r="R68" s="39" t="n">
        <v>0.08181099999999999</v>
      </c>
      <c r="S68" s="12">
        <f>R68</f>
        <v/>
      </c>
      <c r="T68" s="15">
        <f>S68</f>
        <v/>
      </c>
      <c r="U68" s="16">
        <f>T68</f>
        <v/>
      </c>
      <c r="V68" s="39" t="n">
        <v>0.135893</v>
      </c>
      <c r="W68" s="12">
        <f>V68</f>
        <v/>
      </c>
      <c r="X68" s="15">
        <f>W68</f>
        <v/>
      </c>
      <c r="Y68" s="16">
        <f>X68</f>
        <v/>
      </c>
      <c r="Z68" s="39" t="n">
        <v>0</v>
      </c>
      <c r="AA68" s="12">
        <f>Z68</f>
        <v/>
      </c>
      <c r="AB68" s="15">
        <f>AA68</f>
        <v/>
      </c>
      <c r="AC68" s="16">
        <f>AB68</f>
        <v/>
      </c>
    </row>
    <row r="69" ht="16.5" customFormat="1" customHeight="1" s="39">
      <c r="A69" s="34">
        <f>'2_MechAdd_Script'!A69</f>
        <v/>
      </c>
      <c r="B69" t="inlineStr">
        <is>
          <t>DirtyPile_Load</t>
        </is>
      </c>
      <c r="C69" s="4" t="n"/>
      <c r="D69" s="5" t="n"/>
      <c r="E69" s="32" t="n"/>
      <c r="F69" s="39" t="n">
        <v>0</v>
      </c>
      <c r="G69" s="12">
        <f>F69</f>
        <v/>
      </c>
      <c r="H69" s="15">
        <f>G69</f>
        <v/>
      </c>
      <c r="I69" s="16">
        <f>H69</f>
        <v/>
      </c>
      <c r="J69" s="39" t="n">
        <v>0</v>
      </c>
      <c r="K69" s="12">
        <f>J69</f>
        <v/>
      </c>
      <c r="L69" s="15">
        <f>K69</f>
        <v/>
      </c>
      <c r="M69" s="16">
        <f>L69</f>
        <v/>
      </c>
      <c r="N69" s="39" t="n">
        <v>0</v>
      </c>
      <c r="O69" s="12">
        <f>N69</f>
        <v/>
      </c>
      <c r="P69" s="15">
        <f>O69</f>
        <v/>
      </c>
      <c r="Q69" s="16">
        <f>P69</f>
        <v/>
      </c>
      <c r="R69" s="39" t="n">
        <v>0</v>
      </c>
      <c r="S69" s="12">
        <f>R69</f>
        <v/>
      </c>
      <c r="T69" s="15">
        <f>S69</f>
        <v/>
      </c>
      <c r="U69" s="16">
        <f>T69</f>
        <v/>
      </c>
      <c r="V69" s="39" t="n">
        <v>0</v>
      </c>
      <c r="W69" s="12">
        <f>V69</f>
        <v/>
      </c>
      <c r="X69" s="15">
        <f>W69</f>
        <v/>
      </c>
      <c r="Y69" s="16">
        <f>X69</f>
        <v/>
      </c>
      <c r="Z69" s="39" t="n">
        <v>0</v>
      </c>
      <c r="AA69" s="12">
        <f>Z69</f>
        <v/>
      </c>
      <c r="AB69" s="15">
        <f>AA69</f>
        <v/>
      </c>
      <c r="AC69" s="16">
        <f>AB69</f>
        <v/>
      </c>
    </row>
    <row r="70" customFormat="1" s="39">
      <c r="A70" s="34">
        <f>'2_MechAdd_Script'!A70</f>
        <v/>
      </c>
      <c r="B70" t="inlineStr">
        <is>
          <t>VDirtyPile_Load</t>
        </is>
      </c>
      <c r="C70" s="4" t="n"/>
      <c r="D70" s="5" t="n"/>
      <c r="E70" s="32" t="n"/>
      <c r="F70" s="39" t="n">
        <v>0</v>
      </c>
      <c r="G70" s="12">
        <f>F70</f>
        <v/>
      </c>
      <c r="H70" s="15">
        <f>G70</f>
        <v/>
      </c>
      <c r="I70" s="16">
        <f>H70</f>
        <v/>
      </c>
      <c r="J70" s="39" t="n">
        <v>0</v>
      </c>
      <c r="K70" s="12">
        <f>J70</f>
        <v/>
      </c>
      <c r="L70" s="15">
        <f>K70</f>
        <v/>
      </c>
      <c r="M70" s="16">
        <f>L70</f>
        <v/>
      </c>
      <c r="N70" s="39" t="n">
        <v>0</v>
      </c>
      <c r="O70" s="12">
        <f>N70</f>
        <v/>
      </c>
      <c r="P70" s="15">
        <f>O70</f>
        <v/>
      </c>
      <c r="Q70" s="16">
        <f>P70</f>
        <v/>
      </c>
      <c r="R70" s="39" t="n">
        <v>0</v>
      </c>
      <c r="S70" s="12">
        <f>R70</f>
        <v/>
      </c>
      <c r="T70" s="15">
        <f>S70</f>
        <v/>
      </c>
      <c r="U70" s="16">
        <f>T70</f>
        <v/>
      </c>
      <c r="V70" s="39" t="n">
        <v>0</v>
      </c>
      <c r="W70" s="12">
        <f>V70</f>
        <v/>
      </c>
      <c r="X70" s="15">
        <f>W70</f>
        <v/>
      </c>
      <c r="Y70" s="16">
        <f>X70</f>
        <v/>
      </c>
      <c r="Z70" s="39" t="n">
        <v>0</v>
      </c>
      <c r="AA70" s="12">
        <f>Z70</f>
        <v/>
      </c>
      <c r="AB70" s="15">
        <f>AA70</f>
        <v/>
      </c>
      <c r="AC70" s="16">
        <f>AB70</f>
        <v/>
      </c>
    </row>
    <row r="71" customFormat="1" s="39">
      <c r="A71" s="34">
        <f>'2_MechAdd_Script'!A71</f>
        <v/>
      </c>
      <c r="B71" t="inlineStr">
        <is>
          <t>BroadleafLitter_RelCover</t>
        </is>
      </c>
      <c r="C71" s="4" t="n"/>
      <c r="D71" s="5" t="n"/>
      <c r="E71" s="32" t="n"/>
      <c r="G71" s="12">
        <f>F71</f>
        <v/>
      </c>
      <c r="H71" s="15">
        <f>G71</f>
        <v/>
      </c>
      <c r="I71" s="16">
        <f>H71</f>
        <v/>
      </c>
      <c r="K71" s="12">
        <f>J71</f>
        <v/>
      </c>
      <c r="L71" s="15">
        <f>K71</f>
        <v/>
      </c>
      <c r="M71" s="16">
        <f>L71</f>
        <v/>
      </c>
      <c r="O71" s="12">
        <f>N71</f>
        <v/>
      </c>
      <c r="P71" s="15">
        <f>O71</f>
        <v/>
      </c>
      <c r="Q71" s="16">
        <f>P71</f>
        <v/>
      </c>
      <c r="S71" s="12">
        <f>R71</f>
        <v/>
      </c>
      <c r="T71" s="15">
        <f>S71</f>
        <v/>
      </c>
      <c r="U71" s="16">
        <f>T71</f>
        <v/>
      </c>
      <c r="V71" s="39" t="n">
        <v>90</v>
      </c>
      <c r="W71" s="12">
        <f>V71</f>
        <v/>
      </c>
      <c r="X71" s="15">
        <f>W71</f>
        <v/>
      </c>
      <c r="Y71" s="16">
        <f>X71</f>
        <v/>
      </c>
      <c r="AA71" s="12">
        <f>Z71</f>
        <v/>
      </c>
      <c r="AB71" s="15">
        <f>AA71</f>
        <v/>
      </c>
      <c r="AC71" s="16">
        <f>AB71</f>
        <v/>
      </c>
    </row>
    <row r="72" customFormat="1" s="39">
      <c r="A72" s="34">
        <f>'2_MechAdd_Script'!A72</f>
        <v/>
      </c>
      <c r="B72" t="inlineStr">
        <is>
          <t>EvergreenLitter_RelCover</t>
        </is>
      </c>
      <c r="C72" s="4" t="n"/>
      <c r="D72" s="5" t="n"/>
      <c r="E72" s="32" t="n"/>
      <c r="G72" s="12">
        <f>F72</f>
        <v/>
      </c>
      <c r="H72" s="15">
        <f>G72</f>
        <v/>
      </c>
      <c r="I72" s="16">
        <f>H72</f>
        <v/>
      </c>
      <c r="J72" s="39" t="n">
        <v>100</v>
      </c>
      <c r="K72" s="12">
        <f>J72</f>
        <v/>
      </c>
      <c r="L72" s="15">
        <f>K72</f>
        <v/>
      </c>
      <c r="M72" s="16">
        <f>L72</f>
        <v/>
      </c>
      <c r="O72" s="12">
        <f>N72</f>
        <v/>
      </c>
      <c r="P72" s="15">
        <f>O72</f>
        <v/>
      </c>
      <c r="Q72" s="16">
        <f>P72</f>
        <v/>
      </c>
      <c r="S72" s="12">
        <f>R72</f>
        <v/>
      </c>
      <c r="T72" s="15">
        <f>S72</f>
        <v/>
      </c>
      <c r="U72" s="16">
        <f>T72</f>
        <v/>
      </c>
      <c r="W72" s="12">
        <f>V72</f>
        <v/>
      </c>
      <c r="X72" s="15">
        <f>W72</f>
        <v/>
      </c>
      <c r="Y72" s="16">
        <f>X72</f>
        <v/>
      </c>
      <c r="AA72" s="12">
        <f>Z72</f>
        <v/>
      </c>
      <c r="AB72" s="15">
        <f>AA72</f>
        <v/>
      </c>
      <c r="AC72" s="16">
        <f>AB72</f>
        <v/>
      </c>
    </row>
    <row r="73" customFormat="1" s="39">
      <c r="A73" s="34">
        <f>'2_MechAdd_Script'!A73</f>
        <v/>
      </c>
      <c r="B73" t="inlineStr">
        <is>
          <t>GrassLitter_RelCover</t>
        </is>
      </c>
      <c r="C73" s="4" t="n"/>
      <c r="D73" s="5" t="n"/>
      <c r="E73" s="32" t="n"/>
      <c r="G73" s="12">
        <f>F73</f>
        <v/>
      </c>
      <c r="H73" s="15">
        <f>G73</f>
        <v/>
      </c>
      <c r="I73" s="16">
        <f>H73</f>
        <v/>
      </c>
      <c r="K73" s="12">
        <f>J73</f>
        <v/>
      </c>
      <c r="L73" s="15">
        <f>K73</f>
        <v/>
      </c>
      <c r="M73" s="16">
        <f>L73</f>
        <v/>
      </c>
      <c r="N73" s="39" t="n">
        <v>100</v>
      </c>
      <c r="O73" s="12">
        <f>N73</f>
        <v/>
      </c>
      <c r="P73" s="15">
        <f>O73</f>
        <v/>
      </c>
      <c r="Q73" s="16">
        <f>P73</f>
        <v/>
      </c>
      <c r="S73" s="12">
        <f>R73</f>
        <v/>
      </c>
      <c r="T73" s="15">
        <f>S73</f>
        <v/>
      </c>
      <c r="U73" s="16">
        <f>T73</f>
        <v/>
      </c>
      <c r="W73" s="12">
        <f>V73</f>
        <v/>
      </c>
      <c r="X73" s="15">
        <f>W73</f>
        <v/>
      </c>
      <c r="Y73" s="16">
        <f>X73</f>
        <v/>
      </c>
      <c r="AA73" s="12">
        <f>Z73</f>
        <v/>
      </c>
      <c r="AB73" s="15">
        <f>AA73</f>
        <v/>
      </c>
      <c r="AC73" s="16">
        <f>AB73</f>
        <v/>
      </c>
    </row>
    <row r="74" customFormat="1" s="39">
      <c r="A74" s="34">
        <f>'2_MechAdd_Script'!A74</f>
        <v/>
      </c>
      <c r="B74" t="inlineStr">
        <is>
          <t>LongNeedleLitter_RelCover</t>
        </is>
      </c>
      <c r="C74" s="4" t="n"/>
      <c r="D74" s="5" t="n"/>
      <c r="E74" s="32" t="n"/>
      <c r="F74" s="13" t="n">
        <v>50</v>
      </c>
      <c r="G74" s="12">
        <f>F74</f>
        <v/>
      </c>
      <c r="H74" s="15">
        <f>G74</f>
        <v/>
      </c>
      <c r="I74" s="16">
        <f>H74</f>
        <v/>
      </c>
      <c r="K74" s="12">
        <f>J74</f>
        <v/>
      </c>
      <c r="L74" s="15">
        <f>K74</f>
        <v/>
      </c>
      <c r="M74" s="16">
        <f>L74</f>
        <v/>
      </c>
      <c r="O74" s="12">
        <f>N74</f>
        <v/>
      </c>
      <c r="P74" s="15">
        <f>O74</f>
        <v/>
      </c>
      <c r="Q74" s="16">
        <f>P74</f>
        <v/>
      </c>
      <c r="S74" s="12">
        <f>R74</f>
        <v/>
      </c>
      <c r="T74" s="15">
        <f>S74</f>
        <v/>
      </c>
      <c r="U74" s="16">
        <f>T74</f>
        <v/>
      </c>
      <c r="V74" s="39" t="n">
        <v>10</v>
      </c>
      <c r="W74" s="12">
        <f>V74</f>
        <v/>
      </c>
      <c r="X74" s="15">
        <f>W74</f>
        <v/>
      </c>
      <c r="Y74" s="16">
        <f>X74</f>
        <v/>
      </c>
      <c r="Z74" s="39" t="n">
        <v>40</v>
      </c>
      <c r="AA74" s="12">
        <f>Z74</f>
        <v/>
      </c>
      <c r="AB74" s="15">
        <f>AA74</f>
        <v/>
      </c>
      <c r="AC74" s="16">
        <f>AB74</f>
        <v/>
      </c>
    </row>
    <row r="75" customFormat="1" s="39">
      <c r="A75" s="34">
        <f>'2_MechAdd_Script'!A75</f>
        <v/>
      </c>
      <c r="B75" t="inlineStr">
        <is>
          <t>OtherConiferLitter_RelCover</t>
        </is>
      </c>
      <c r="C75" s="4" t="n"/>
      <c r="D75" s="5" t="n"/>
      <c r="E75" s="32" t="n"/>
      <c r="F75" s="13" t="n">
        <v>50</v>
      </c>
      <c r="G75" s="12">
        <f>F75</f>
        <v/>
      </c>
      <c r="H75" s="15">
        <f>G75</f>
        <v/>
      </c>
      <c r="I75" s="16">
        <f>H75</f>
        <v/>
      </c>
      <c r="K75" s="12">
        <f>J75</f>
        <v/>
      </c>
      <c r="L75" s="15">
        <f>K75</f>
        <v/>
      </c>
      <c r="M75" s="16">
        <f>L75</f>
        <v/>
      </c>
      <c r="O75" s="12">
        <f>N75</f>
        <v/>
      </c>
      <c r="P75" s="15">
        <f>O75</f>
        <v/>
      </c>
      <c r="Q75" s="16">
        <f>P75</f>
        <v/>
      </c>
      <c r="R75" s="39" t="n">
        <v>100</v>
      </c>
      <c r="S75" s="12">
        <f>R75</f>
        <v/>
      </c>
      <c r="T75" s="15">
        <f>S75</f>
        <v/>
      </c>
      <c r="U75" s="16">
        <f>T75</f>
        <v/>
      </c>
      <c r="W75" s="12">
        <f>V75</f>
        <v/>
      </c>
      <c r="X75" s="15">
        <f>W75</f>
        <v/>
      </c>
      <c r="Y75" s="16">
        <f>X75</f>
        <v/>
      </c>
      <c r="AA75" s="12">
        <f>Z75</f>
        <v/>
      </c>
      <c r="AB75" s="15">
        <f>AA75</f>
        <v/>
      </c>
      <c r="AC75" s="16">
        <f>AB75</f>
        <v/>
      </c>
    </row>
    <row r="76" customFormat="1" s="39">
      <c r="A76" s="34">
        <f>'2_MechAdd_Script'!A76</f>
        <v/>
      </c>
      <c r="B76" t="inlineStr">
        <is>
          <t>PalmLitter_RelCover</t>
        </is>
      </c>
      <c r="C76" s="4" t="n"/>
      <c r="D76" s="5" t="n"/>
      <c r="E76" s="32" t="n"/>
      <c r="G76" s="12">
        <f>F76</f>
        <v/>
      </c>
      <c r="H76" s="15">
        <f>G76</f>
        <v/>
      </c>
      <c r="I76" s="16">
        <f>H76</f>
        <v/>
      </c>
      <c r="K76" s="12">
        <f>J76</f>
        <v/>
      </c>
      <c r="L76" s="15">
        <f>K76</f>
        <v/>
      </c>
      <c r="M76" s="16">
        <f>L76</f>
        <v/>
      </c>
      <c r="O76" s="12">
        <f>N76</f>
        <v/>
      </c>
      <c r="P76" s="15">
        <f>O76</f>
        <v/>
      </c>
      <c r="Q76" s="16">
        <f>P76</f>
        <v/>
      </c>
      <c r="S76" s="12">
        <f>R76</f>
        <v/>
      </c>
      <c r="T76" s="15">
        <f>S76</f>
        <v/>
      </c>
      <c r="U76" s="16">
        <f>T76</f>
        <v/>
      </c>
      <c r="W76" s="12">
        <f>V76</f>
        <v/>
      </c>
      <c r="X76" s="15">
        <f>W76</f>
        <v/>
      </c>
      <c r="Y76" s="16">
        <f>X76</f>
        <v/>
      </c>
      <c r="Z76" s="39" t="n">
        <v>60</v>
      </c>
      <c r="AA76" s="12">
        <f>Z76</f>
        <v/>
      </c>
      <c r="AB76" s="15">
        <f>AA76</f>
        <v/>
      </c>
      <c r="AC76" s="16">
        <f>AB76</f>
        <v/>
      </c>
    </row>
    <row r="77" customFormat="1" s="39">
      <c r="A77" s="34">
        <f>'2_MechAdd_Script'!A77</f>
        <v/>
      </c>
      <c r="B77" t="inlineStr">
        <is>
          <t>ShortNeedleLitter_RelCover</t>
        </is>
      </c>
      <c r="C77" s="4" t="n"/>
      <c r="D77" s="5" t="n"/>
      <c r="E77" s="32" t="n"/>
      <c r="G77" s="12">
        <f>F77</f>
        <v/>
      </c>
      <c r="H77" s="15">
        <f>G77</f>
        <v/>
      </c>
      <c r="I77" s="16">
        <f>H77</f>
        <v/>
      </c>
      <c r="K77" s="12">
        <f>J77</f>
        <v/>
      </c>
      <c r="L77" s="15">
        <f>K77</f>
        <v/>
      </c>
      <c r="M77" s="16">
        <f>L77</f>
        <v/>
      </c>
      <c r="O77" s="12">
        <f>N77</f>
        <v/>
      </c>
      <c r="P77" s="15">
        <f>O77</f>
        <v/>
      </c>
      <c r="Q77" s="16">
        <f>P77</f>
        <v/>
      </c>
      <c r="S77" s="12">
        <f>R77</f>
        <v/>
      </c>
      <c r="T77" s="15">
        <f>S77</f>
        <v/>
      </c>
      <c r="U77" s="16">
        <f>T77</f>
        <v/>
      </c>
      <c r="W77" s="12">
        <f>V77</f>
        <v/>
      </c>
      <c r="X77" s="15">
        <f>W77</f>
        <v/>
      </c>
      <c r="Y77" s="16">
        <f>X77</f>
        <v/>
      </c>
      <c r="AA77" s="12">
        <f>Z77</f>
        <v/>
      </c>
      <c r="AB77" s="15">
        <f>AA77</f>
        <v/>
      </c>
      <c r="AC77" s="16">
        <f>AB77</f>
        <v/>
      </c>
    </row>
    <row r="78" customFormat="1" s="39">
      <c r="A78" s="34">
        <f>'2_MechAdd_Script'!A78</f>
        <v/>
      </c>
      <c r="B78" t="inlineStr">
        <is>
          <t>Lichen_Depth</t>
        </is>
      </c>
      <c r="C78" s="4" t="n"/>
      <c r="D78" s="8" t="n"/>
      <c r="E78" s="32" t="n"/>
      <c r="G78" s="12">
        <f>F78</f>
        <v/>
      </c>
      <c r="H78" s="15">
        <f>G78</f>
        <v/>
      </c>
      <c r="I78" s="16">
        <f>H78</f>
        <v/>
      </c>
      <c r="K78" s="12">
        <f>J78</f>
        <v/>
      </c>
      <c r="L78" s="15">
        <f>K78</f>
        <v/>
      </c>
      <c r="M78" s="16">
        <f>L78</f>
        <v/>
      </c>
      <c r="O78" s="12">
        <f>N78</f>
        <v/>
      </c>
      <c r="P78" s="15">
        <f>O78</f>
        <v/>
      </c>
      <c r="Q78" s="16">
        <f>P78</f>
        <v/>
      </c>
      <c r="R78" s="39" t="n">
        <v>2</v>
      </c>
      <c r="S78" s="12">
        <f>R78</f>
        <v/>
      </c>
      <c r="T78" s="15">
        <f>S78</f>
        <v/>
      </c>
      <c r="U78" s="16">
        <f>T78</f>
        <v/>
      </c>
      <c r="W78" s="12">
        <f>V78</f>
        <v/>
      </c>
      <c r="X78" s="15">
        <f>W78</f>
        <v/>
      </c>
      <c r="Y78" s="16">
        <f>X78</f>
        <v/>
      </c>
      <c r="AA78" s="12">
        <f>Z78</f>
        <v/>
      </c>
      <c r="AB78" s="15">
        <f>AA78</f>
        <v/>
      </c>
      <c r="AC78" s="16">
        <f>AB78</f>
        <v/>
      </c>
    </row>
    <row r="79" customFormat="1" s="39">
      <c r="A79" s="34">
        <f>'2_MechAdd_Script'!A79</f>
        <v/>
      </c>
      <c r="B79" t="inlineStr">
        <is>
          <t>Lichen_Cover</t>
        </is>
      </c>
      <c r="C79" s="4" t="n"/>
      <c r="D79" s="8" t="n"/>
      <c r="E79" s="32" t="n"/>
      <c r="G79" s="12">
        <f>F79</f>
        <v/>
      </c>
      <c r="H79" s="15">
        <f>G79</f>
        <v/>
      </c>
      <c r="I79" s="16">
        <f>H79</f>
        <v/>
      </c>
      <c r="K79" s="12">
        <f>J79</f>
        <v/>
      </c>
      <c r="L79" s="15">
        <f>K79</f>
        <v/>
      </c>
      <c r="M79" s="16">
        <f>L79</f>
        <v/>
      </c>
      <c r="O79" s="12">
        <f>N79</f>
        <v/>
      </c>
      <c r="P79" s="15">
        <f>O79</f>
        <v/>
      </c>
      <c r="Q79" s="16">
        <f>P79</f>
        <v/>
      </c>
      <c r="R79" s="39" t="n">
        <v>5</v>
      </c>
      <c r="S79" s="12">
        <f>R79</f>
        <v/>
      </c>
      <c r="T79" s="15">
        <f>S79</f>
        <v/>
      </c>
      <c r="U79" s="16">
        <f>T79</f>
        <v/>
      </c>
      <c r="W79" s="12">
        <f>V79</f>
        <v/>
      </c>
      <c r="X79" s="15">
        <f>W79</f>
        <v/>
      </c>
      <c r="Y79" s="16">
        <f>X79</f>
        <v/>
      </c>
      <c r="AA79" s="12">
        <f>Z79</f>
        <v/>
      </c>
      <c r="AB79" s="15">
        <f>AA79</f>
        <v/>
      </c>
      <c r="AC79" s="16">
        <f>AB79</f>
        <v/>
      </c>
    </row>
    <row r="80" customFormat="1" s="39">
      <c r="A80" s="34">
        <f>'2_MechAdd_Script'!A80</f>
        <v/>
      </c>
      <c r="B80" t="inlineStr">
        <is>
          <t>Litter_Depth</t>
        </is>
      </c>
      <c r="C80" s="4" t="n">
        <v>1.75</v>
      </c>
      <c r="D80" s="8" t="n"/>
      <c r="E80" s="32" t="n"/>
      <c r="F80" s="39" t="n">
        <v>0.2</v>
      </c>
      <c r="G80" s="12">
        <f>$C80*F80</f>
        <v/>
      </c>
      <c r="H80" s="15">
        <f>G80</f>
        <v/>
      </c>
      <c r="I80" s="16">
        <f>H80</f>
        <v/>
      </c>
      <c r="J80" s="39" t="n">
        <v>1</v>
      </c>
      <c r="K80" s="12">
        <f>$C80*J80</f>
        <v/>
      </c>
      <c r="L80" s="15">
        <f>K80</f>
        <v/>
      </c>
      <c r="M80" s="16">
        <f>L80</f>
        <v/>
      </c>
      <c r="N80" s="39" t="n">
        <v>2.5</v>
      </c>
      <c r="O80" s="12">
        <f>$C80*N80</f>
        <v/>
      </c>
      <c r="P80" s="15">
        <f>O80</f>
        <v/>
      </c>
      <c r="Q80" s="16">
        <f>P80</f>
        <v/>
      </c>
      <c r="R80" s="39" t="n">
        <v>1</v>
      </c>
      <c r="S80" s="12">
        <f>$C80*R80</f>
        <v/>
      </c>
      <c r="T80" s="15">
        <f>S80</f>
        <v/>
      </c>
      <c r="U80" s="16">
        <f>T80</f>
        <v/>
      </c>
      <c r="V80" s="39" t="n">
        <v>1.5</v>
      </c>
      <c r="W80" s="12">
        <f>$C80*V80</f>
        <v/>
      </c>
      <c r="X80" s="15">
        <f>W80</f>
        <v/>
      </c>
      <c r="Y80" s="16">
        <f>X80</f>
        <v/>
      </c>
      <c r="Z80" s="39" t="n">
        <v>2</v>
      </c>
      <c r="AA80" s="12">
        <f>$C80*Z80</f>
        <v/>
      </c>
      <c r="AB80" s="15">
        <f>AA80</f>
        <v/>
      </c>
      <c r="AC80" s="16">
        <f>AB80</f>
        <v/>
      </c>
    </row>
    <row r="81" customFormat="1" s="39">
      <c r="A81" s="34">
        <f>'2_MechAdd_Script'!A81</f>
        <v/>
      </c>
      <c r="B81" t="inlineStr">
        <is>
          <t>Litter_Cover</t>
        </is>
      </c>
      <c r="C81" s="4" t="n">
        <v>1.75</v>
      </c>
      <c r="D81" s="8" t="n"/>
      <c r="E81" s="32" t="n"/>
      <c r="F81" s="39" t="n">
        <v>70</v>
      </c>
      <c r="G81" s="12">
        <f>MIN(100,$C81*F81)</f>
        <v/>
      </c>
      <c r="H81" s="15">
        <f>G81</f>
        <v/>
      </c>
      <c r="I81" s="16">
        <f>H81</f>
        <v/>
      </c>
      <c r="J81" s="39" t="n">
        <v>60</v>
      </c>
      <c r="K81" s="12">
        <f>MIN(100,$C81*J81)</f>
        <v/>
      </c>
      <c r="L81" s="15">
        <f>K81</f>
        <v/>
      </c>
      <c r="M81" s="16">
        <f>L81</f>
        <v/>
      </c>
      <c r="N81" s="39" t="n">
        <v>5</v>
      </c>
      <c r="O81" s="12">
        <f>MIN(100,$C81*N81)</f>
        <v/>
      </c>
      <c r="P81" s="15">
        <f>O81</f>
        <v/>
      </c>
      <c r="Q81" s="16">
        <f>P81</f>
        <v/>
      </c>
      <c r="R81" s="39" t="n">
        <v>15</v>
      </c>
      <c r="S81" s="12">
        <f>MIN(100,$C81*R81)</f>
        <v/>
      </c>
      <c r="T81" s="15">
        <f>S81</f>
        <v/>
      </c>
      <c r="U81" s="16">
        <f>T81</f>
        <v/>
      </c>
      <c r="V81" s="39" t="n">
        <v>90</v>
      </c>
      <c r="W81" s="12">
        <f>MIN(100,$C81*V81)</f>
        <v/>
      </c>
      <c r="X81" s="15">
        <f>W81</f>
        <v/>
      </c>
      <c r="Y81" s="16">
        <f>X81</f>
        <v/>
      </c>
      <c r="Z81" s="39" t="n">
        <v>70</v>
      </c>
      <c r="AA81" s="12">
        <f>MIN(100,$C81*Z81)</f>
        <v/>
      </c>
      <c r="AB81" s="15">
        <f>AA81</f>
        <v/>
      </c>
      <c r="AC81" s="16">
        <f>AB81</f>
        <v/>
      </c>
    </row>
    <row r="82" customFormat="1" s="39">
      <c r="A82" s="34">
        <f>'2_MechAdd_Script'!A82</f>
        <v/>
      </c>
      <c r="B82" t="inlineStr">
        <is>
          <t>Moss_Depth</t>
        </is>
      </c>
      <c r="C82" s="4" t="n"/>
      <c r="D82" s="8" t="n"/>
      <c r="E82" s="32" t="n"/>
      <c r="G82" s="12">
        <f>F82</f>
        <v/>
      </c>
      <c r="H82" s="15">
        <f>G82</f>
        <v/>
      </c>
      <c r="I82" s="16">
        <f>H82</f>
        <v/>
      </c>
      <c r="K82" s="12">
        <f>J82</f>
        <v/>
      </c>
      <c r="L82" s="15">
        <f>K82</f>
        <v/>
      </c>
      <c r="M82" s="16">
        <f>L82</f>
        <v/>
      </c>
      <c r="O82" s="12">
        <f>N82</f>
        <v/>
      </c>
      <c r="P82" s="15">
        <f>O82</f>
        <v/>
      </c>
      <c r="Q82" s="16">
        <f>P82</f>
        <v/>
      </c>
      <c r="R82" s="39" t="n">
        <v>2.5</v>
      </c>
      <c r="S82" s="12">
        <f>R82</f>
        <v/>
      </c>
      <c r="T82" s="15">
        <f>S82</f>
        <v/>
      </c>
      <c r="U82" s="16">
        <f>T82</f>
        <v/>
      </c>
      <c r="V82" s="39" t="n">
        <v>1</v>
      </c>
      <c r="W82" s="12">
        <f>V82</f>
        <v/>
      </c>
      <c r="X82" s="15">
        <f>W82</f>
        <v/>
      </c>
      <c r="Y82" s="16">
        <f>X82</f>
        <v/>
      </c>
      <c r="AA82" s="12">
        <f>Z82</f>
        <v/>
      </c>
      <c r="AB82" s="15">
        <f>AA82</f>
        <v/>
      </c>
      <c r="AC82" s="16">
        <f>AB82</f>
        <v/>
      </c>
    </row>
    <row r="83" customFormat="1" s="39">
      <c r="A83" s="34">
        <f>'2_MechAdd_Script'!A83</f>
        <v/>
      </c>
      <c r="B83" t="inlineStr">
        <is>
          <t>Moss_Cover</t>
        </is>
      </c>
      <c r="C83" s="4" t="n"/>
      <c r="D83" s="8" t="n"/>
      <c r="E83" s="32" t="n"/>
      <c r="G83" s="12">
        <f>F83</f>
        <v/>
      </c>
      <c r="H83" s="15">
        <f>G83</f>
        <v/>
      </c>
      <c r="I83" s="16">
        <f>H83</f>
        <v/>
      </c>
      <c r="K83" s="12">
        <f>J83</f>
        <v/>
      </c>
      <c r="L83" s="15">
        <f>K83</f>
        <v/>
      </c>
      <c r="M83" s="16">
        <f>L83</f>
        <v/>
      </c>
      <c r="O83" s="12">
        <f>N83</f>
        <v/>
      </c>
      <c r="P83" s="15">
        <f>O83</f>
        <v/>
      </c>
      <c r="Q83" s="16">
        <f>P83</f>
        <v/>
      </c>
      <c r="R83" s="39" t="n">
        <v>80</v>
      </c>
      <c r="S83" s="12">
        <f>R83</f>
        <v/>
      </c>
      <c r="T83" s="15">
        <f>S83</f>
        <v/>
      </c>
      <c r="U83" s="16">
        <f>T83</f>
        <v/>
      </c>
      <c r="V83" s="39" t="n">
        <v>5</v>
      </c>
      <c r="W83" s="12">
        <f>V83</f>
        <v/>
      </c>
      <c r="X83" s="15">
        <f>W83</f>
        <v/>
      </c>
      <c r="Y83" s="16">
        <f>X83</f>
        <v/>
      </c>
      <c r="AA83" s="12">
        <f>Z83</f>
        <v/>
      </c>
      <c r="AB83" s="15">
        <f>AA83</f>
        <v/>
      </c>
      <c r="AC83" s="16">
        <f>AB83</f>
        <v/>
      </c>
    </row>
    <row r="84" customFormat="1" s="39">
      <c r="A84" s="34">
        <f>'2_MechAdd_Script'!A84</f>
        <v/>
      </c>
      <c r="B84" t="inlineStr">
        <is>
          <t>LowerDuff_Depth</t>
        </is>
      </c>
      <c r="C84" s="4" t="n"/>
      <c r="D84" s="5" t="n"/>
      <c r="E84" s="32" t="n"/>
      <c r="G84" s="12">
        <f>F84</f>
        <v/>
      </c>
      <c r="H84" s="15">
        <f>G84</f>
        <v/>
      </c>
      <c r="I84" s="16">
        <f>H84</f>
        <v/>
      </c>
      <c r="J84" s="39" t="n">
        <v>0.2</v>
      </c>
      <c r="K84" s="12">
        <f>J84</f>
        <v/>
      </c>
      <c r="L84" s="15">
        <f>K84</f>
        <v/>
      </c>
      <c r="M84" s="16">
        <f>L84</f>
        <v/>
      </c>
      <c r="O84" s="12">
        <f>N84</f>
        <v/>
      </c>
      <c r="P84" s="15">
        <f>O84</f>
        <v/>
      </c>
      <c r="Q84" s="16">
        <f>P84</f>
        <v/>
      </c>
      <c r="R84" s="39" t="n">
        <v>2</v>
      </c>
      <c r="S84" s="12">
        <f>R84</f>
        <v/>
      </c>
      <c r="T84" s="15">
        <f>S84</f>
        <v/>
      </c>
      <c r="U84" s="16">
        <f>T84</f>
        <v/>
      </c>
      <c r="W84" s="12">
        <f>V84</f>
        <v/>
      </c>
      <c r="X84" s="15">
        <f>W84</f>
        <v/>
      </c>
      <c r="Y84" s="16">
        <f>X84</f>
        <v/>
      </c>
      <c r="AA84" s="12">
        <f>Z84</f>
        <v/>
      </c>
      <c r="AB84" s="15">
        <f>AA84</f>
        <v/>
      </c>
      <c r="AC84" s="16">
        <f>AB84</f>
        <v/>
      </c>
    </row>
    <row r="85" customFormat="1" s="39">
      <c r="A85" s="34">
        <f>'2_MechAdd_Script'!A85</f>
        <v/>
      </c>
      <c r="B85" t="inlineStr">
        <is>
          <t>LowerDuff_Cover</t>
        </is>
      </c>
      <c r="C85" s="4" t="n"/>
      <c r="D85" s="5" t="n"/>
      <c r="E85" s="32" t="n"/>
      <c r="G85" s="12">
        <f>F85</f>
        <v/>
      </c>
      <c r="H85" s="15">
        <f>G85</f>
        <v/>
      </c>
      <c r="I85" s="16">
        <f>H85</f>
        <v/>
      </c>
      <c r="J85" s="39" t="n">
        <v>60</v>
      </c>
      <c r="K85" s="12">
        <f>J85</f>
        <v/>
      </c>
      <c r="L85" s="15">
        <f>K85</f>
        <v/>
      </c>
      <c r="M85" s="16">
        <f>L85</f>
        <v/>
      </c>
      <c r="O85" s="12">
        <f>N85</f>
        <v/>
      </c>
      <c r="P85" s="15">
        <f>O85</f>
        <v/>
      </c>
      <c r="Q85" s="16">
        <f>P85</f>
        <v/>
      </c>
      <c r="R85" s="39" t="n">
        <v>90</v>
      </c>
      <c r="S85" s="12">
        <f>R85</f>
        <v/>
      </c>
      <c r="T85" s="15">
        <f>S85</f>
        <v/>
      </c>
      <c r="U85" s="16">
        <f>T85</f>
        <v/>
      </c>
      <c r="W85" s="12">
        <f>V85</f>
        <v/>
      </c>
      <c r="X85" s="15">
        <f>W85</f>
        <v/>
      </c>
      <c r="Y85" s="16">
        <f>X85</f>
        <v/>
      </c>
      <c r="AA85" s="12">
        <f>Z85</f>
        <v/>
      </c>
      <c r="AB85" s="15">
        <f>AA85</f>
        <v/>
      </c>
      <c r="AC85" s="16">
        <f>AB85</f>
        <v/>
      </c>
    </row>
    <row r="86" customFormat="1" s="39">
      <c r="A86" s="34">
        <f>'2_MechAdd_Script'!A86</f>
        <v/>
      </c>
      <c r="B86" t="inlineStr">
        <is>
          <t>UpperDuff_Depth</t>
        </is>
      </c>
      <c r="C86" s="4" t="n"/>
      <c r="D86" s="5" t="n"/>
      <c r="E86" s="32" t="n">
        <v>1.4</v>
      </c>
      <c r="F86" s="39" t="n">
        <v>0.5</v>
      </c>
      <c r="G86" s="12">
        <f>F86</f>
        <v/>
      </c>
      <c r="H86" s="15">
        <f>G86</f>
        <v/>
      </c>
      <c r="I86" s="16">
        <f>$E86*H86</f>
        <v/>
      </c>
      <c r="J86" s="39" t="n">
        <v>0.4</v>
      </c>
      <c r="K86" s="12">
        <f>J86</f>
        <v/>
      </c>
      <c r="L86" s="15">
        <f>K86</f>
        <v/>
      </c>
      <c r="M86" s="16">
        <f>$E86*L86</f>
        <v/>
      </c>
      <c r="N86" s="39" t="n">
        <v>0.2</v>
      </c>
      <c r="O86" s="12">
        <f>N86</f>
        <v/>
      </c>
      <c r="P86" s="15">
        <f>O86</f>
        <v/>
      </c>
      <c r="Q86" s="16">
        <f>$E86*P86</f>
        <v/>
      </c>
      <c r="R86" s="39" t="n">
        <v>4</v>
      </c>
      <c r="S86" s="12">
        <f>R86</f>
        <v/>
      </c>
      <c r="T86" s="15">
        <f>S86</f>
        <v/>
      </c>
      <c r="U86" s="16">
        <f>$E86*T86</f>
        <v/>
      </c>
      <c r="V86" s="39" t="n">
        <v>1</v>
      </c>
      <c r="W86" s="12">
        <f>V86</f>
        <v/>
      </c>
      <c r="X86" s="15">
        <f>W86</f>
        <v/>
      </c>
      <c r="Y86" s="16">
        <f>$E86*X86</f>
        <v/>
      </c>
      <c r="Z86" s="39" t="n">
        <v>1.5</v>
      </c>
      <c r="AA86" s="12">
        <f>Z86</f>
        <v/>
      </c>
      <c r="AB86" s="15">
        <f>AA86</f>
        <v/>
      </c>
      <c r="AC86" s="16">
        <f>$E86*AB86</f>
        <v/>
      </c>
    </row>
    <row r="87" customFormat="1" s="39">
      <c r="A87" s="34">
        <f>'2_MechAdd_Script'!A87</f>
        <v/>
      </c>
      <c r="B87" t="inlineStr">
        <is>
          <t>UpperDuff_Cover</t>
        </is>
      </c>
      <c r="C87" s="4" t="n"/>
      <c r="D87" s="5" t="n"/>
      <c r="E87" s="32" t="n">
        <v>1.4</v>
      </c>
      <c r="F87" s="39" t="n">
        <v>70</v>
      </c>
      <c r="G87" s="12">
        <f>F87</f>
        <v/>
      </c>
      <c r="H87" s="15">
        <f>G87</f>
        <v/>
      </c>
      <c r="I87" s="16">
        <f>MIN(100,$E87*H87)</f>
        <v/>
      </c>
      <c r="J87" s="39" t="n">
        <v>60</v>
      </c>
      <c r="K87" s="12">
        <f>J87</f>
        <v/>
      </c>
      <c r="L87" s="15">
        <f>K87</f>
        <v/>
      </c>
      <c r="M87" s="16">
        <f>MIN(100,$E87*L87)</f>
        <v/>
      </c>
      <c r="N87" s="39" t="n">
        <v>70</v>
      </c>
      <c r="O87" s="12">
        <f>N87</f>
        <v/>
      </c>
      <c r="P87" s="15">
        <f>O87</f>
        <v/>
      </c>
      <c r="Q87" s="16">
        <f>MIN(100,$E87*P87)</f>
        <v/>
      </c>
      <c r="R87" s="39" t="n">
        <v>100</v>
      </c>
      <c r="S87" s="12">
        <f>R87</f>
        <v/>
      </c>
      <c r="T87" s="15">
        <f>S87</f>
        <v/>
      </c>
      <c r="U87" s="16">
        <f>MIN(100,$E87*T87)</f>
        <v/>
      </c>
      <c r="V87" s="39" t="n">
        <v>90</v>
      </c>
      <c r="W87" s="12">
        <f>V87</f>
        <v/>
      </c>
      <c r="X87" s="15">
        <f>W87</f>
        <v/>
      </c>
      <c r="Y87" s="16">
        <f>MIN(100,$E87*X87)</f>
        <v/>
      </c>
      <c r="Z87" s="39" t="n">
        <v>70</v>
      </c>
      <c r="AA87" s="12">
        <f>Z87</f>
        <v/>
      </c>
      <c r="AB87" s="15">
        <f>AA87</f>
        <v/>
      </c>
      <c r="AC87" s="16">
        <f>MIN(100,$E87*AB87)</f>
        <v/>
      </c>
    </row>
    <row r="88" customFormat="1" s="39">
      <c r="A88" s="34">
        <f>'2_MechAdd_Script'!A88</f>
        <v/>
      </c>
      <c r="B88" t="inlineStr">
        <is>
          <t>BasalAccum_Depth</t>
        </is>
      </c>
      <c r="C88" s="4" t="n"/>
      <c r="D88" s="5" t="n"/>
      <c r="E88" s="32" t="n"/>
      <c r="G88" s="12">
        <f>F88</f>
        <v/>
      </c>
      <c r="H88" s="15">
        <f>G88</f>
        <v/>
      </c>
      <c r="I88" s="16">
        <f>H88</f>
        <v/>
      </c>
      <c r="K88" s="12">
        <f>J88</f>
        <v/>
      </c>
      <c r="L88" s="15">
        <f>K88</f>
        <v/>
      </c>
      <c r="M88" s="16">
        <f>L88</f>
        <v/>
      </c>
      <c r="O88" s="12">
        <f>N88</f>
        <v/>
      </c>
      <c r="P88" s="15">
        <f>O88</f>
        <v/>
      </c>
      <c r="Q88" s="16">
        <f>P88</f>
        <v/>
      </c>
      <c r="S88" s="12">
        <f>R88</f>
        <v/>
      </c>
      <c r="T88" s="15">
        <f>S88</f>
        <v/>
      </c>
      <c r="U88" s="16">
        <f>T88</f>
        <v/>
      </c>
      <c r="W88" s="12">
        <f>V88</f>
        <v/>
      </c>
      <c r="X88" s="15">
        <f>W88</f>
        <v/>
      </c>
      <c r="Y88" s="16">
        <f>X88</f>
        <v/>
      </c>
      <c r="AA88" s="12">
        <f>Z88</f>
        <v/>
      </c>
      <c r="AB88" s="15">
        <f>AA88</f>
        <v/>
      </c>
      <c r="AC88" s="16">
        <f>AB88</f>
        <v/>
      </c>
    </row>
    <row r="89" customFormat="1" s="39">
      <c r="A89" s="34">
        <f>'2_MechAdd_Script'!A89</f>
        <v/>
      </c>
      <c r="B89" t="inlineStr">
        <is>
          <t>BasalAccum_Density</t>
        </is>
      </c>
      <c r="C89" s="4" t="n"/>
      <c r="D89" s="5" t="n"/>
      <c r="E89" s="32" t="n"/>
      <c r="G89" s="12">
        <f>F89</f>
        <v/>
      </c>
      <c r="H89" s="15">
        <f>G89</f>
        <v/>
      </c>
      <c r="I89" s="16">
        <f>H89</f>
        <v/>
      </c>
      <c r="K89" s="12">
        <f>J89</f>
        <v/>
      </c>
      <c r="L89" s="15">
        <f>K89</f>
        <v/>
      </c>
      <c r="M89" s="16">
        <f>L89</f>
        <v/>
      </c>
      <c r="O89" s="12">
        <f>N89</f>
        <v/>
      </c>
      <c r="P89" s="15">
        <f>O89</f>
        <v/>
      </c>
      <c r="Q89" s="16">
        <f>P89</f>
        <v/>
      </c>
      <c r="S89" s="12">
        <f>R89</f>
        <v/>
      </c>
      <c r="T89" s="15">
        <f>S89</f>
        <v/>
      </c>
      <c r="U89" s="16">
        <f>T89</f>
        <v/>
      </c>
      <c r="W89" s="12">
        <f>V89</f>
        <v/>
      </c>
      <c r="X89" s="15">
        <f>W89</f>
        <v/>
      </c>
      <c r="Y89" s="16">
        <f>X89</f>
        <v/>
      </c>
      <c r="AA89" s="12">
        <f>Z89</f>
        <v/>
      </c>
      <c r="AB89" s="15">
        <f>AA89</f>
        <v/>
      </c>
      <c r="AC89" s="16">
        <f>AB89</f>
        <v/>
      </c>
    </row>
    <row r="90" customFormat="1" s="39">
      <c r="A90" s="34">
        <f>'2_MechAdd_Script'!A90</f>
        <v/>
      </c>
      <c r="B90" t="inlineStr">
        <is>
          <t>BasalAccum_Radius</t>
        </is>
      </c>
      <c r="C90" s="4" t="n"/>
      <c r="D90" s="5" t="n"/>
      <c r="E90" s="32" t="n"/>
      <c r="G90" s="12">
        <f>F90</f>
        <v/>
      </c>
      <c r="H90" s="15">
        <f>G90</f>
        <v/>
      </c>
      <c r="I90" s="16">
        <f>H90</f>
        <v/>
      </c>
      <c r="K90" s="12">
        <f>J90</f>
        <v/>
      </c>
      <c r="L90" s="15">
        <f>K90</f>
        <v/>
      </c>
      <c r="M90" s="16">
        <f>L90</f>
        <v/>
      </c>
      <c r="O90" s="12">
        <f>N90</f>
        <v/>
      </c>
      <c r="P90" s="15">
        <f>O90</f>
        <v/>
      </c>
      <c r="Q90" s="16">
        <f>P90</f>
        <v/>
      </c>
      <c r="S90" s="12">
        <f>R90</f>
        <v/>
      </c>
      <c r="T90" s="15">
        <f>S90</f>
        <v/>
      </c>
      <c r="U90" s="16">
        <f>T90</f>
        <v/>
      </c>
      <c r="W90" s="12">
        <f>V90</f>
        <v/>
      </c>
      <c r="X90" s="15">
        <f>W90</f>
        <v/>
      </c>
      <c r="Y90" s="16">
        <f>X90</f>
        <v/>
      </c>
      <c r="AA90" s="12">
        <f>Z90</f>
        <v/>
      </c>
      <c r="AB90" s="15">
        <f>AA90</f>
        <v/>
      </c>
      <c r="AC90" s="16">
        <f>AB90</f>
        <v/>
      </c>
    </row>
    <row r="91" customFormat="1" s="39">
      <c r="A91" s="34">
        <f>'2_MechAdd_Script'!A91</f>
        <v/>
      </c>
      <c r="B91" t="inlineStr">
        <is>
          <t>SquirrelMid_Depth</t>
        </is>
      </c>
      <c r="C91" s="4" t="n"/>
      <c r="D91" s="5" t="n"/>
      <c r="E91" s="32" t="n"/>
      <c r="G91" s="12">
        <f>F91</f>
        <v/>
      </c>
      <c r="H91" s="15">
        <f>G91</f>
        <v/>
      </c>
      <c r="I91" s="16">
        <f>H91</f>
        <v/>
      </c>
      <c r="K91" s="12">
        <f>J91</f>
        <v/>
      </c>
      <c r="L91" s="15">
        <f>K91</f>
        <v/>
      </c>
      <c r="M91" s="16">
        <f>L91</f>
        <v/>
      </c>
      <c r="O91" s="12">
        <f>N91</f>
        <v/>
      </c>
      <c r="P91" s="15">
        <f>O91</f>
        <v/>
      </c>
      <c r="Q91" s="16">
        <f>P91</f>
        <v/>
      </c>
      <c r="R91" s="39" t="n">
        <v>18</v>
      </c>
      <c r="S91" s="12">
        <f>R91</f>
        <v/>
      </c>
      <c r="T91" s="15">
        <f>S91</f>
        <v/>
      </c>
      <c r="U91" s="16">
        <f>T91</f>
        <v/>
      </c>
      <c r="W91" s="12">
        <f>V91</f>
        <v/>
      </c>
      <c r="X91" s="15">
        <f>W91</f>
        <v/>
      </c>
      <c r="Y91" s="16">
        <f>X91</f>
        <v/>
      </c>
      <c r="AA91" s="12">
        <f>Z91</f>
        <v/>
      </c>
      <c r="AB91" s="15">
        <f>AA91</f>
        <v/>
      </c>
      <c r="AC91" s="16">
        <f>AB91</f>
        <v/>
      </c>
    </row>
    <row r="92" customFormat="1" s="39">
      <c r="A92" s="34">
        <f>'2_MechAdd_Script'!A92</f>
        <v/>
      </c>
      <c r="B92" t="inlineStr">
        <is>
          <t>SquirrelMid_Density</t>
        </is>
      </c>
      <c r="C92" s="4" t="n"/>
      <c r="D92" s="5" t="n"/>
      <c r="E92" s="32" t="n"/>
      <c r="G92" s="12">
        <f>F92</f>
        <v/>
      </c>
      <c r="H92" s="15">
        <f>G92</f>
        <v/>
      </c>
      <c r="I92" s="16">
        <f>H92</f>
        <v/>
      </c>
      <c r="K92" s="12">
        <f>J92</f>
        <v/>
      </c>
      <c r="L92" s="15">
        <f>K92</f>
        <v/>
      </c>
      <c r="M92" s="16">
        <f>L92</f>
        <v/>
      </c>
      <c r="O92" s="12">
        <f>N92</f>
        <v/>
      </c>
      <c r="P92" s="15">
        <f>O92</f>
        <v/>
      </c>
      <c r="Q92" s="16">
        <f>P92</f>
        <v/>
      </c>
      <c r="R92" s="39" t="n">
        <v>1</v>
      </c>
      <c r="S92" s="12">
        <f>R92</f>
        <v/>
      </c>
      <c r="T92" s="15">
        <f>S92</f>
        <v/>
      </c>
      <c r="U92" s="16">
        <f>T92</f>
        <v/>
      </c>
      <c r="W92" s="12">
        <f>V92</f>
        <v/>
      </c>
      <c r="X92" s="15">
        <f>W92</f>
        <v/>
      </c>
      <c r="Y92" s="16">
        <f>X92</f>
        <v/>
      </c>
      <c r="AA92" s="12">
        <f>Z92</f>
        <v/>
      </c>
      <c r="AB92" s="15">
        <f>AA92</f>
        <v/>
      </c>
      <c r="AC92" s="16">
        <f>AB92</f>
        <v/>
      </c>
    </row>
    <row r="93" customFormat="1" s="39">
      <c r="A93" s="34">
        <f>'2_MechAdd_Script'!A93</f>
        <v/>
      </c>
      <c r="B93" t="inlineStr">
        <is>
          <t>SquirrelMid_Radius</t>
        </is>
      </c>
      <c r="C93" s="4" t="n"/>
      <c r="D93" s="5" t="n"/>
      <c r="E93" s="32" t="n"/>
      <c r="G93" s="12">
        <f>F93</f>
        <v/>
      </c>
      <c r="H93" s="15">
        <f>G93</f>
        <v/>
      </c>
      <c r="I93" s="16">
        <f>H93</f>
        <v/>
      </c>
      <c r="K93" s="12">
        <f>J93</f>
        <v/>
      </c>
      <c r="L93" s="15">
        <f>K93</f>
        <v/>
      </c>
      <c r="M93" s="16">
        <f>L93</f>
        <v/>
      </c>
      <c r="O93" s="12">
        <f>N93</f>
        <v/>
      </c>
      <c r="P93" s="15">
        <f>O93</f>
        <v/>
      </c>
      <c r="Q93" s="16">
        <f>P93</f>
        <v/>
      </c>
      <c r="R93" s="39" t="n">
        <v>5</v>
      </c>
      <c r="S93" s="12">
        <f>R93</f>
        <v/>
      </c>
      <c r="T93" s="15">
        <f>S93</f>
        <v/>
      </c>
      <c r="U93" s="16">
        <f>T93</f>
        <v/>
      </c>
      <c r="W93" s="12">
        <f>V93</f>
        <v/>
      </c>
      <c r="X93" s="15">
        <f>W93</f>
        <v/>
      </c>
      <c r="Y93" s="16">
        <f>X93</f>
        <v/>
      </c>
      <c r="AA93" s="12">
        <f>Z93</f>
        <v/>
      </c>
      <c r="AB93" s="15">
        <f>AA93</f>
        <v/>
      </c>
      <c r="AC93" s="16">
        <f>AB93</f>
        <v/>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I93"/>
  <sheetViews>
    <sheetView workbookViewId="0">
      <selection activeCell="A1" sqref="A1"/>
    </sheetView>
  </sheetViews>
  <sheetFormatPr baseColWidth="8" defaultRowHeight="15"/>
  <cols>
    <col width="77.140625" customWidth="1" style="7" min="1" max="1"/>
    <col width="13.5703125" bestFit="1" customWidth="1" style="35" min="2" max="2"/>
    <col width="17.7109375" bestFit="1" customWidth="1" style="35" min="3" max="11"/>
    <col width="13.5703125" bestFit="1" customWidth="1" style="35" min="12" max="12"/>
    <col width="17.7109375" bestFit="1" customWidth="1" style="35" min="13" max="21"/>
    <col width="13.5703125" bestFit="1" customWidth="1" style="35" min="22" max="22"/>
    <col width="17.7109375" bestFit="1" customWidth="1" style="35" min="23" max="31"/>
    <col width="13.5703125" bestFit="1" customWidth="1" style="35" min="32" max="32"/>
    <col width="17.7109375" bestFit="1" customWidth="1" style="35" min="33" max="41"/>
    <col width="13.5703125" bestFit="1" customWidth="1" style="35" min="42" max="42"/>
    <col width="17.7109375" bestFit="1" customWidth="1" style="35" min="43" max="51"/>
    <col width="13.5703125" bestFit="1" customWidth="1" style="35" min="52" max="52"/>
    <col width="17.7109375" bestFit="1" customWidth="1" style="35" min="53" max="61"/>
  </cols>
  <sheetData>
    <row r="1">
      <c r="A1" t="inlineStr">
        <is>
          <t>Variable</t>
        </is>
      </c>
      <c r="B1" t="inlineStr">
        <is>
          <t>FB_0029_FCCS</t>
        </is>
      </c>
      <c r="C1" t="inlineStr">
        <is>
          <t>FB_0029_FCCS_111</t>
        </is>
      </c>
      <c r="D1" t="inlineStr">
        <is>
          <t>FB_0029_FCCS_112</t>
        </is>
      </c>
      <c r="E1" t="inlineStr">
        <is>
          <t>FB_0029_FCCS_113</t>
        </is>
      </c>
      <c r="F1" t="inlineStr">
        <is>
          <t>FB_0029_FCCS_121</t>
        </is>
      </c>
      <c r="G1" t="inlineStr">
        <is>
          <t>FB_0029_FCCS_122</t>
        </is>
      </c>
      <c r="H1" t="inlineStr">
        <is>
          <t>FB_0029_FCCS_123</t>
        </is>
      </c>
      <c r="I1" t="inlineStr">
        <is>
          <t>FB_0029_FCCS_131</t>
        </is>
      </c>
      <c r="J1" t="inlineStr">
        <is>
          <t>FB_0029_FCCS_132</t>
        </is>
      </c>
      <c r="K1" t="inlineStr">
        <is>
          <t>FB_0029_FCCS_133</t>
        </is>
      </c>
      <c r="L1" t="inlineStr">
        <is>
          <t>FB_0046_FCCS</t>
        </is>
      </c>
      <c r="M1" t="inlineStr">
        <is>
          <t>FB_0046_FCCS_111</t>
        </is>
      </c>
      <c r="N1" t="inlineStr">
        <is>
          <t>FB_0046_FCCS_112</t>
        </is>
      </c>
      <c r="O1" t="inlineStr">
        <is>
          <t>FB_0046_FCCS_113</t>
        </is>
      </c>
      <c r="P1" t="inlineStr">
        <is>
          <t>FB_0046_FCCS_121</t>
        </is>
      </c>
      <c r="Q1" t="inlineStr">
        <is>
          <t>FB_0046_FCCS_122</t>
        </is>
      </c>
      <c r="R1" t="inlineStr">
        <is>
          <t>FB_0046_FCCS_123</t>
        </is>
      </c>
      <c r="S1" t="inlineStr">
        <is>
          <t>FB_0046_FCCS_131</t>
        </is>
      </c>
      <c r="T1" t="inlineStr">
        <is>
          <t>FB_0046_FCCS_132</t>
        </is>
      </c>
      <c r="U1" t="inlineStr">
        <is>
          <t>FB_0046_FCCS_133</t>
        </is>
      </c>
      <c r="V1" t="inlineStr">
        <is>
          <t>FB_0066_FCCS</t>
        </is>
      </c>
      <c r="W1" t="inlineStr">
        <is>
          <t>FB_0066_FCCS_111</t>
        </is>
      </c>
      <c r="X1" t="inlineStr">
        <is>
          <t>FB_0066_FCCS_112</t>
        </is>
      </c>
      <c r="Y1" t="inlineStr">
        <is>
          <t>FB_0066_FCCS_113</t>
        </is>
      </c>
      <c r="Z1" t="inlineStr">
        <is>
          <t>FB_0066_FCCS_121</t>
        </is>
      </c>
      <c r="AA1" t="inlineStr">
        <is>
          <t>FB_0066_FCCS_122</t>
        </is>
      </c>
      <c r="AB1" t="inlineStr">
        <is>
          <t>FB_0066_FCCS_123</t>
        </is>
      </c>
      <c r="AC1" t="inlineStr">
        <is>
          <t>FB_0066_FCCS_131</t>
        </is>
      </c>
      <c r="AD1" t="inlineStr">
        <is>
          <t>FB_0066_FCCS_132</t>
        </is>
      </c>
      <c r="AE1" t="inlineStr">
        <is>
          <t>FB_0066_FCCS_133</t>
        </is>
      </c>
      <c r="AF1" t="inlineStr">
        <is>
          <t>FB_0087_FCCS</t>
        </is>
      </c>
      <c r="AG1" t="inlineStr">
        <is>
          <t>FB_0087_FCCS_111</t>
        </is>
      </c>
      <c r="AH1" t="inlineStr">
        <is>
          <t>FB_0087_FCCS_112</t>
        </is>
      </c>
      <c r="AI1" t="inlineStr">
        <is>
          <t>FB_0087_FCCS_113</t>
        </is>
      </c>
      <c r="AJ1" t="inlineStr">
        <is>
          <t>FB_0087_FCCS_121</t>
        </is>
      </c>
      <c r="AK1" t="inlineStr">
        <is>
          <t>FB_0087_FCCS_122</t>
        </is>
      </c>
      <c r="AL1" t="inlineStr">
        <is>
          <t>FB_0087_FCCS_123</t>
        </is>
      </c>
      <c r="AM1" t="inlineStr">
        <is>
          <t>FB_0087_FCCS_131</t>
        </is>
      </c>
      <c r="AN1" t="inlineStr">
        <is>
          <t>FB_0087_FCCS_132</t>
        </is>
      </c>
      <c r="AO1" t="inlineStr">
        <is>
          <t>FB_0087_FCCS_133</t>
        </is>
      </c>
      <c r="AP1" t="inlineStr">
        <is>
          <t>FB_0109_FCCS</t>
        </is>
      </c>
      <c r="AQ1" t="inlineStr">
        <is>
          <t>FB_0109_FCCS_111</t>
        </is>
      </c>
      <c r="AR1" t="inlineStr">
        <is>
          <t>FB_0109_FCCS_112</t>
        </is>
      </c>
      <c r="AS1" t="inlineStr">
        <is>
          <t>FB_0109_FCCS_113</t>
        </is>
      </c>
      <c r="AT1" t="inlineStr">
        <is>
          <t>FB_0109_FCCS_121</t>
        </is>
      </c>
      <c r="AU1" t="inlineStr">
        <is>
          <t>FB_0109_FCCS_122</t>
        </is>
      </c>
      <c r="AV1" t="inlineStr">
        <is>
          <t>FB_0109_FCCS_123</t>
        </is>
      </c>
      <c r="AW1" t="inlineStr">
        <is>
          <t>FB_0109_FCCS_131</t>
        </is>
      </c>
      <c r="AX1" t="inlineStr">
        <is>
          <t>FB_0109_FCCS_132</t>
        </is>
      </c>
      <c r="AY1" t="inlineStr">
        <is>
          <t>FB_0109_FCCS_133</t>
        </is>
      </c>
      <c r="AZ1" t="inlineStr">
        <is>
          <t>FB_0291_FCCS</t>
        </is>
      </c>
      <c r="BA1" t="inlineStr">
        <is>
          <t>FB_0291_FCCS_111</t>
        </is>
      </c>
      <c r="BB1" t="inlineStr">
        <is>
          <t>FB_0291_FCCS_112</t>
        </is>
      </c>
      <c r="BC1" t="inlineStr">
        <is>
          <t>FB_0291_FCCS_113</t>
        </is>
      </c>
      <c r="BD1" t="inlineStr">
        <is>
          <t>FB_0291_FCCS_121</t>
        </is>
      </c>
      <c r="BE1" t="inlineStr">
        <is>
          <t>FB_0291_FCCS_122</t>
        </is>
      </c>
      <c r="BF1" t="inlineStr">
        <is>
          <t>FB_0291_FCCS_123</t>
        </is>
      </c>
      <c r="BG1" t="inlineStr">
        <is>
          <t>FB_0291_FCCS_131</t>
        </is>
      </c>
      <c r="BH1" t="inlineStr">
        <is>
          <t>FB_0291_FCCS_132</t>
        </is>
      </c>
      <c r="BI1" t="inlineStr">
        <is>
          <t>FB_0291_FCCS_133</t>
        </is>
      </c>
    </row>
    <row r="2">
      <c r="A2" s="34">
        <f>'2_MechAdd_Script'!A2</f>
        <v/>
      </c>
      <c r="B2">
        <f>'2_MechAdd_LowSeverity'!F2</f>
        <v/>
      </c>
      <c r="C2">
        <f>'2_MechAdd_LowSeverity'!G2</f>
        <v/>
      </c>
      <c r="D2">
        <f>'2_MechAdd_LowSeverity'!H2</f>
        <v/>
      </c>
      <c r="E2">
        <f>'2_MechAdd_LowSeverity'!I2</f>
        <v/>
      </c>
      <c r="F2">
        <f>'2_MechAdd_ModSeverity'!G2</f>
        <v/>
      </c>
      <c r="G2">
        <f>'2_MechAdd_ModSeverity'!H2</f>
        <v/>
      </c>
      <c r="H2">
        <f>'2_MechAdd_ModSeverity'!I2</f>
        <v/>
      </c>
      <c r="I2">
        <f>'2_MechAdd_HighSeverity'!G2</f>
        <v/>
      </c>
      <c r="J2">
        <f>'2_MechAdd_HighSeverity'!H2</f>
        <v/>
      </c>
      <c r="K2">
        <f>'2_MechAdd_HighSeverity'!I2</f>
        <v/>
      </c>
      <c r="L2">
        <f>'2_MechAdd_LowSeverity'!J2</f>
        <v/>
      </c>
      <c r="M2">
        <f>'2_MechAdd_LowSeverity'!K2</f>
        <v/>
      </c>
      <c r="N2">
        <f>'2_MechAdd_LowSeverity'!L2</f>
        <v/>
      </c>
      <c r="O2">
        <f>'2_MechAdd_LowSeverity'!M2</f>
        <v/>
      </c>
      <c r="P2">
        <f>'2_MechAdd_ModSeverity'!K2</f>
        <v/>
      </c>
      <c r="Q2">
        <f>'2_MechAdd_ModSeverity'!L2</f>
        <v/>
      </c>
      <c r="R2">
        <f>'2_MechAdd_ModSeverity'!M2</f>
        <v/>
      </c>
      <c r="S2">
        <f>'2_MechAdd_HighSeverity'!K2</f>
        <v/>
      </c>
      <c r="T2">
        <f>'2_MechAdd_HighSeverity'!L2</f>
        <v/>
      </c>
      <c r="U2">
        <f>'2_MechAdd_HighSeverity'!M2</f>
        <v/>
      </c>
      <c r="V2">
        <f>'2_MechAdd_LowSeverity'!N2</f>
        <v/>
      </c>
      <c r="W2">
        <f>'2_MechAdd_LowSeverity'!O2</f>
        <v/>
      </c>
      <c r="X2">
        <f>'2_MechAdd_LowSeverity'!P2</f>
        <v/>
      </c>
      <c r="Y2">
        <f>'2_MechAdd_LowSeverity'!Q2</f>
        <v/>
      </c>
      <c r="Z2">
        <f>'2_MechAdd_ModSeverity'!O2</f>
        <v/>
      </c>
      <c r="AA2">
        <f>'2_MechAdd_ModSeverity'!P2</f>
        <v/>
      </c>
      <c r="AB2">
        <f>'2_MechAdd_ModSeverity'!Q2</f>
        <v/>
      </c>
      <c r="AC2">
        <f>'2_MechAdd_HighSeverity'!O2</f>
        <v/>
      </c>
      <c r="AD2">
        <f>'2_MechAdd_HighSeverity'!P2</f>
        <v/>
      </c>
      <c r="AE2">
        <f>'2_MechAdd_HighSeverity'!Q2</f>
        <v/>
      </c>
      <c r="AF2">
        <f>'2_MechAdd_LowSeverity'!R2</f>
        <v/>
      </c>
      <c r="AG2">
        <f>'2_MechAdd_LowSeverity'!S2</f>
        <v/>
      </c>
      <c r="AH2">
        <f>'2_MechAdd_LowSeverity'!T2</f>
        <v/>
      </c>
      <c r="AI2">
        <f>'2_MechAdd_LowSeverity'!U2</f>
        <v/>
      </c>
      <c r="AJ2">
        <f>'2_MechAdd_ModSeverity'!S2</f>
        <v/>
      </c>
      <c r="AK2">
        <f>'2_MechAdd_ModSeverity'!T2</f>
        <v/>
      </c>
      <c r="AL2">
        <f>'2_MechAdd_ModSeverity'!U2</f>
        <v/>
      </c>
      <c r="AM2">
        <f>'2_MechAdd_HighSeverity'!S2</f>
        <v/>
      </c>
      <c r="AN2">
        <f>'2_MechAdd_HighSeverity'!T2</f>
        <v/>
      </c>
      <c r="AO2">
        <f>'2_MechAdd_HighSeverity'!U2</f>
        <v/>
      </c>
      <c r="AP2">
        <f>'2_MechAdd_LowSeverity'!V2</f>
        <v/>
      </c>
      <c r="AQ2">
        <f>'2_MechAdd_LowSeverity'!W2</f>
        <v/>
      </c>
      <c r="AR2">
        <f>'2_MechAdd_LowSeverity'!X2</f>
        <v/>
      </c>
      <c r="AS2">
        <f>'2_MechAdd_LowSeverity'!Y2</f>
        <v/>
      </c>
      <c r="AT2">
        <f>'2_MechAdd_ModSeverity'!W2</f>
        <v/>
      </c>
      <c r="AU2">
        <f>'2_MechAdd_ModSeverity'!X2</f>
        <v/>
      </c>
      <c r="AV2">
        <f>'2_MechAdd_ModSeverity'!Y2</f>
        <v/>
      </c>
      <c r="AW2">
        <f>'2_MechAdd_HighSeverity'!W2</f>
        <v/>
      </c>
      <c r="AX2">
        <f>'2_MechAdd_HighSeverity'!X2</f>
        <v/>
      </c>
      <c r="AY2">
        <f>'2_MechAdd_HighSeverity'!Y2</f>
        <v/>
      </c>
      <c r="AZ2">
        <f>'2_MechAdd_LowSeverity'!Z2</f>
        <v/>
      </c>
      <c r="BA2">
        <f>'2_MechAdd_LowSeverity'!AA2</f>
        <v/>
      </c>
      <c r="BB2">
        <f>'2_MechAdd_LowSeverity'!AB2</f>
        <v/>
      </c>
      <c r="BC2">
        <f>'2_MechAdd_LowSeverity'!AC2</f>
        <v/>
      </c>
      <c r="BD2">
        <f>'2_MechAdd_ModSeverity'!AA2</f>
        <v/>
      </c>
      <c r="BE2">
        <f>'2_MechAdd_ModSeverity'!AB2</f>
        <v/>
      </c>
      <c r="BF2">
        <f>'2_MechAdd_ModSeverity'!AC2</f>
        <v/>
      </c>
      <c r="BG2">
        <f>'2_MechAdd_HighSeverity'!AA2</f>
        <v/>
      </c>
      <c r="BH2">
        <f>'2_MechAdd_HighSeverity'!AB2</f>
        <v/>
      </c>
      <c r="BI2">
        <f>'2_MechAdd_HighSeverity'!AC2</f>
        <v/>
      </c>
    </row>
    <row r="3">
      <c r="A3" s="34">
        <f>'2_MechAdd_Script'!A3</f>
        <v/>
      </c>
      <c r="B3">
        <f>'2_MechAdd_LowSeverity'!F3</f>
        <v/>
      </c>
      <c r="C3">
        <f>'2_MechAdd_LowSeverity'!G3</f>
        <v/>
      </c>
      <c r="D3">
        <f>'2_MechAdd_LowSeverity'!H3</f>
        <v/>
      </c>
      <c r="E3">
        <f>'2_MechAdd_LowSeverity'!I3</f>
        <v/>
      </c>
      <c r="F3">
        <f>'2_MechAdd_ModSeverity'!G3</f>
        <v/>
      </c>
      <c r="G3">
        <f>'2_MechAdd_ModSeverity'!H3</f>
        <v/>
      </c>
      <c r="H3">
        <f>'2_MechAdd_ModSeverity'!I3</f>
        <v/>
      </c>
      <c r="I3">
        <f>'2_MechAdd_HighSeverity'!G3</f>
        <v/>
      </c>
      <c r="J3">
        <f>'2_MechAdd_HighSeverity'!H3</f>
        <v/>
      </c>
      <c r="K3">
        <f>'2_MechAdd_HighSeverity'!I3</f>
        <v/>
      </c>
      <c r="L3">
        <f>'2_MechAdd_LowSeverity'!J3</f>
        <v/>
      </c>
      <c r="M3">
        <f>'2_MechAdd_LowSeverity'!K3</f>
        <v/>
      </c>
      <c r="N3">
        <f>'2_MechAdd_LowSeverity'!L3</f>
        <v/>
      </c>
      <c r="O3">
        <f>'2_MechAdd_LowSeverity'!M3</f>
        <v/>
      </c>
      <c r="P3">
        <f>'2_MechAdd_ModSeverity'!K3</f>
        <v/>
      </c>
      <c r="Q3">
        <f>'2_MechAdd_ModSeverity'!L3</f>
        <v/>
      </c>
      <c r="R3">
        <f>'2_MechAdd_ModSeverity'!M3</f>
        <v/>
      </c>
      <c r="S3">
        <f>'2_MechAdd_HighSeverity'!K3</f>
        <v/>
      </c>
      <c r="T3">
        <f>'2_MechAdd_HighSeverity'!L3</f>
        <v/>
      </c>
      <c r="U3">
        <f>'2_MechAdd_HighSeverity'!M3</f>
        <v/>
      </c>
      <c r="V3">
        <f>'2_MechAdd_LowSeverity'!N3</f>
        <v/>
      </c>
      <c r="W3">
        <f>'2_MechAdd_LowSeverity'!O3</f>
        <v/>
      </c>
      <c r="X3">
        <f>'2_MechAdd_LowSeverity'!P3</f>
        <v/>
      </c>
      <c r="Y3">
        <f>'2_MechAdd_LowSeverity'!Q3</f>
        <v/>
      </c>
      <c r="Z3">
        <f>'2_MechAdd_ModSeverity'!O3</f>
        <v/>
      </c>
      <c r="AA3">
        <f>'2_MechAdd_ModSeverity'!P3</f>
        <v/>
      </c>
      <c r="AB3">
        <f>'2_MechAdd_ModSeverity'!Q3</f>
        <v/>
      </c>
      <c r="AC3">
        <f>'2_MechAdd_HighSeverity'!O3</f>
        <v/>
      </c>
      <c r="AD3">
        <f>'2_MechAdd_HighSeverity'!P3</f>
        <v/>
      </c>
      <c r="AE3">
        <f>'2_MechAdd_HighSeverity'!Q3</f>
        <v/>
      </c>
      <c r="AF3">
        <f>'2_MechAdd_LowSeverity'!R3</f>
        <v/>
      </c>
      <c r="AG3">
        <f>'2_MechAdd_LowSeverity'!S3</f>
        <v/>
      </c>
      <c r="AH3">
        <f>'2_MechAdd_LowSeverity'!T3</f>
        <v/>
      </c>
      <c r="AI3">
        <f>'2_MechAdd_LowSeverity'!U3</f>
        <v/>
      </c>
      <c r="AJ3">
        <f>'2_MechAdd_ModSeverity'!S3</f>
        <v/>
      </c>
      <c r="AK3">
        <f>'2_MechAdd_ModSeverity'!T3</f>
        <v/>
      </c>
      <c r="AL3">
        <f>'2_MechAdd_ModSeverity'!U3</f>
        <v/>
      </c>
      <c r="AM3">
        <f>'2_MechAdd_HighSeverity'!S3</f>
        <v/>
      </c>
      <c r="AN3">
        <f>'2_MechAdd_HighSeverity'!T3</f>
        <v/>
      </c>
      <c r="AO3">
        <f>'2_MechAdd_HighSeverity'!U3</f>
        <v/>
      </c>
      <c r="AP3">
        <f>'2_MechAdd_LowSeverity'!V3</f>
        <v/>
      </c>
      <c r="AQ3">
        <f>'2_MechAdd_LowSeverity'!W3</f>
        <v/>
      </c>
      <c r="AR3">
        <f>'2_MechAdd_LowSeverity'!X3</f>
        <v/>
      </c>
      <c r="AS3">
        <f>'2_MechAdd_LowSeverity'!Y3</f>
        <v/>
      </c>
      <c r="AT3">
        <f>'2_MechAdd_ModSeverity'!W3</f>
        <v/>
      </c>
      <c r="AU3">
        <f>'2_MechAdd_ModSeverity'!X3</f>
        <v/>
      </c>
      <c r="AV3">
        <f>'2_MechAdd_ModSeverity'!Y3</f>
        <v/>
      </c>
      <c r="AW3">
        <f>'2_MechAdd_HighSeverity'!W3</f>
        <v/>
      </c>
      <c r="AX3">
        <f>'2_MechAdd_HighSeverity'!X3</f>
        <v/>
      </c>
      <c r="AY3">
        <f>'2_MechAdd_HighSeverity'!Y3</f>
        <v/>
      </c>
      <c r="AZ3">
        <f>'2_MechAdd_LowSeverity'!Z3</f>
        <v/>
      </c>
      <c r="BA3">
        <f>'2_MechAdd_LowSeverity'!AA3</f>
        <v/>
      </c>
      <c r="BB3">
        <f>'2_MechAdd_LowSeverity'!AB3</f>
        <v/>
      </c>
      <c r="BC3">
        <f>'2_MechAdd_LowSeverity'!AC3</f>
        <v/>
      </c>
      <c r="BD3">
        <f>'2_MechAdd_ModSeverity'!AA3</f>
        <v/>
      </c>
      <c r="BE3">
        <f>'2_MechAdd_ModSeverity'!AB3</f>
        <v/>
      </c>
      <c r="BF3">
        <f>'2_MechAdd_ModSeverity'!AC3</f>
        <v/>
      </c>
      <c r="BG3">
        <f>'2_MechAdd_HighSeverity'!AA3</f>
        <v/>
      </c>
      <c r="BH3">
        <f>'2_MechAdd_HighSeverity'!AB3</f>
        <v/>
      </c>
      <c r="BI3">
        <f>'2_MechAdd_HighSeverity'!AC3</f>
        <v/>
      </c>
    </row>
    <row r="4">
      <c r="A4" s="34">
        <f>'2_MechAdd_Script'!A4</f>
        <v/>
      </c>
      <c r="B4">
        <f>'2_MechAdd_LowSeverity'!F4</f>
        <v/>
      </c>
      <c r="C4">
        <f>'2_MechAdd_LowSeverity'!G4</f>
        <v/>
      </c>
      <c r="D4">
        <f>'2_MechAdd_LowSeverity'!H4</f>
        <v/>
      </c>
      <c r="E4">
        <f>'2_MechAdd_LowSeverity'!I4</f>
        <v/>
      </c>
      <c r="F4">
        <f>'2_MechAdd_ModSeverity'!G4</f>
        <v/>
      </c>
      <c r="G4">
        <f>'2_MechAdd_ModSeverity'!H4</f>
        <v/>
      </c>
      <c r="H4">
        <f>'2_MechAdd_ModSeverity'!I4</f>
        <v/>
      </c>
      <c r="I4">
        <f>'2_MechAdd_HighSeverity'!G4</f>
        <v/>
      </c>
      <c r="J4">
        <f>'2_MechAdd_HighSeverity'!H4</f>
        <v/>
      </c>
      <c r="K4">
        <f>'2_MechAdd_HighSeverity'!I4</f>
        <v/>
      </c>
      <c r="L4">
        <f>'2_MechAdd_LowSeverity'!J4</f>
        <v/>
      </c>
      <c r="M4">
        <f>'2_MechAdd_LowSeverity'!K4</f>
        <v/>
      </c>
      <c r="N4">
        <f>'2_MechAdd_LowSeverity'!L4</f>
        <v/>
      </c>
      <c r="O4">
        <f>'2_MechAdd_LowSeverity'!M4</f>
        <v/>
      </c>
      <c r="P4">
        <f>'2_MechAdd_ModSeverity'!K4</f>
        <v/>
      </c>
      <c r="Q4">
        <f>'2_MechAdd_ModSeverity'!L4</f>
        <v/>
      </c>
      <c r="R4">
        <f>'2_MechAdd_ModSeverity'!M4</f>
        <v/>
      </c>
      <c r="S4">
        <f>'2_MechAdd_HighSeverity'!K4</f>
        <v/>
      </c>
      <c r="T4">
        <f>'2_MechAdd_HighSeverity'!L4</f>
        <v/>
      </c>
      <c r="U4">
        <f>'2_MechAdd_HighSeverity'!M4</f>
        <v/>
      </c>
      <c r="V4">
        <f>'2_MechAdd_LowSeverity'!N4</f>
        <v/>
      </c>
      <c r="W4">
        <f>'2_MechAdd_LowSeverity'!O4</f>
        <v/>
      </c>
      <c r="X4">
        <f>'2_MechAdd_LowSeverity'!P4</f>
        <v/>
      </c>
      <c r="Y4">
        <f>'2_MechAdd_LowSeverity'!Q4</f>
        <v/>
      </c>
      <c r="Z4">
        <f>'2_MechAdd_ModSeverity'!O4</f>
        <v/>
      </c>
      <c r="AA4">
        <f>'2_MechAdd_ModSeverity'!P4</f>
        <v/>
      </c>
      <c r="AB4">
        <f>'2_MechAdd_ModSeverity'!Q4</f>
        <v/>
      </c>
      <c r="AC4">
        <f>'2_MechAdd_HighSeverity'!O4</f>
        <v/>
      </c>
      <c r="AD4">
        <f>'2_MechAdd_HighSeverity'!P4</f>
        <v/>
      </c>
      <c r="AE4">
        <f>'2_MechAdd_HighSeverity'!Q4</f>
        <v/>
      </c>
      <c r="AF4">
        <f>'2_MechAdd_LowSeverity'!R4</f>
        <v/>
      </c>
      <c r="AG4">
        <f>'2_MechAdd_LowSeverity'!S4</f>
        <v/>
      </c>
      <c r="AH4">
        <f>'2_MechAdd_LowSeverity'!T4</f>
        <v/>
      </c>
      <c r="AI4">
        <f>'2_MechAdd_LowSeverity'!U4</f>
        <v/>
      </c>
      <c r="AJ4">
        <f>'2_MechAdd_ModSeverity'!S4</f>
        <v/>
      </c>
      <c r="AK4">
        <f>'2_MechAdd_ModSeverity'!T4</f>
        <v/>
      </c>
      <c r="AL4">
        <f>'2_MechAdd_ModSeverity'!U4</f>
        <v/>
      </c>
      <c r="AM4">
        <f>'2_MechAdd_HighSeverity'!S4</f>
        <v/>
      </c>
      <c r="AN4">
        <f>'2_MechAdd_HighSeverity'!T4</f>
        <v/>
      </c>
      <c r="AO4">
        <f>'2_MechAdd_HighSeverity'!U4</f>
        <v/>
      </c>
      <c r="AP4">
        <f>'2_MechAdd_LowSeverity'!V4</f>
        <v/>
      </c>
      <c r="AQ4">
        <f>'2_MechAdd_LowSeverity'!W4</f>
        <v/>
      </c>
      <c r="AR4">
        <f>'2_MechAdd_LowSeverity'!X4</f>
        <v/>
      </c>
      <c r="AS4">
        <f>'2_MechAdd_LowSeverity'!Y4</f>
        <v/>
      </c>
      <c r="AT4">
        <f>'2_MechAdd_ModSeverity'!W4</f>
        <v/>
      </c>
      <c r="AU4">
        <f>'2_MechAdd_ModSeverity'!X4</f>
        <v/>
      </c>
      <c r="AV4">
        <f>'2_MechAdd_ModSeverity'!Y4</f>
        <v/>
      </c>
      <c r="AW4">
        <f>'2_MechAdd_HighSeverity'!W4</f>
        <v/>
      </c>
      <c r="AX4">
        <f>'2_MechAdd_HighSeverity'!X4</f>
        <v/>
      </c>
      <c r="AY4">
        <f>'2_MechAdd_HighSeverity'!Y4</f>
        <v/>
      </c>
      <c r="AZ4">
        <f>'2_MechAdd_LowSeverity'!Z4</f>
        <v/>
      </c>
      <c r="BA4">
        <f>'2_MechAdd_LowSeverity'!AA4</f>
        <v/>
      </c>
      <c r="BB4">
        <f>'2_MechAdd_LowSeverity'!AB4</f>
        <v/>
      </c>
      <c r="BC4">
        <f>'2_MechAdd_LowSeverity'!AC4</f>
        <v/>
      </c>
      <c r="BD4">
        <f>'2_MechAdd_ModSeverity'!AA4</f>
        <v/>
      </c>
      <c r="BE4">
        <f>'2_MechAdd_ModSeverity'!AB4</f>
        <v/>
      </c>
      <c r="BF4">
        <f>'2_MechAdd_ModSeverity'!AC4</f>
        <v/>
      </c>
      <c r="BG4">
        <f>'2_MechAdd_HighSeverity'!AA4</f>
        <v/>
      </c>
      <c r="BH4">
        <f>'2_MechAdd_HighSeverity'!AB4</f>
        <v/>
      </c>
      <c r="BI4">
        <f>'2_MechAdd_HighSeverity'!AC4</f>
        <v/>
      </c>
    </row>
    <row r="5">
      <c r="A5" s="34">
        <f>'2_MechAdd_Script'!A5</f>
        <v/>
      </c>
      <c r="B5">
        <f>'2_MechAdd_LowSeverity'!F5</f>
        <v/>
      </c>
      <c r="C5">
        <f>'2_MechAdd_LowSeverity'!G5</f>
        <v/>
      </c>
      <c r="D5">
        <f>'2_MechAdd_LowSeverity'!H5</f>
        <v/>
      </c>
      <c r="E5">
        <f>'2_MechAdd_LowSeverity'!I5</f>
        <v/>
      </c>
      <c r="F5">
        <f>'2_MechAdd_ModSeverity'!G5</f>
        <v/>
      </c>
      <c r="G5">
        <f>'2_MechAdd_ModSeverity'!H5</f>
        <v/>
      </c>
      <c r="H5">
        <f>'2_MechAdd_ModSeverity'!I5</f>
        <v/>
      </c>
      <c r="I5">
        <f>'2_MechAdd_HighSeverity'!G5</f>
        <v/>
      </c>
      <c r="J5">
        <f>'2_MechAdd_HighSeverity'!H5</f>
        <v/>
      </c>
      <c r="K5">
        <f>'2_MechAdd_HighSeverity'!I5</f>
        <v/>
      </c>
      <c r="L5">
        <f>'2_MechAdd_LowSeverity'!J5</f>
        <v/>
      </c>
      <c r="M5">
        <f>'2_MechAdd_LowSeverity'!K5</f>
        <v/>
      </c>
      <c r="N5">
        <f>'2_MechAdd_LowSeverity'!L5</f>
        <v/>
      </c>
      <c r="O5">
        <f>'2_MechAdd_LowSeverity'!M5</f>
        <v/>
      </c>
      <c r="P5">
        <f>'2_MechAdd_ModSeverity'!K5</f>
        <v/>
      </c>
      <c r="Q5">
        <f>'2_MechAdd_ModSeverity'!L5</f>
        <v/>
      </c>
      <c r="R5">
        <f>'2_MechAdd_ModSeverity'!M5</f>
        <v/>
      </c>
      <c r="S5">
        <f>'2_MechAdd_HighSeverity'!K5</f>
        <v/>
      </c>
      <c r="T5">
        <f>'2_MechAdd_HighSeverity'!L5</f>
        <v/>
      </c>
      <c r="U5">
        <f>'2_MechAdd_HighSeverity'!M5</f>
        <v/>
      </c>
      <c r="V5">
        <f>'2_MechAdd_LowSeverity'!N5</f>
        <v/>
      </c>
      <c r="W5">
        <f>'2_MechAdd_LowSeverity'!O5</f>
        <v/>
      </c>
      <c r="X5">
        <f>'2_MechAdd_LowSeverity'!P5</f>
        <v/>
      </c>
      <c r="Y5">
        <f>'2_MechAdd_LowSeverity'!Q5</f>
        <v/>
      </c>
      <c r="Z5">
        <f>'2_MechAdd_ModSeverity'!O5</f>
        <v/>
      </c>
      <c r="AA5">
        <f>'2_MechAdd_ModSeverity'!P5</f>
        <v/>
      </c>
      <c r="AB5">
        <f>'2_MechAdd_ModSeverity'!Q5</f>
        <v/>
      </c>
      <c r="AC5">
        <f>'2_MechAdd_HighSeverity'!O5</f>
        <v/>
      </c>
      <c r="AD5">
        <f>'2_MechAdd_HighSeverity'!P5</f>
        <v/>
      </c>
      <c r="AE5">
        <f>'2_MechAdd_HighSeverity'!Q5</f>
        <v/>
      </c>
      <c r="AF5">
        <f>'2_MechAdd_LowSeverity'!R5</f>
        <v/>
      </c>
      <c r="AG5">
        <f>'2_MechAdd_LowSeverity'!S5</f>
        <v/>
      </c>
      <c r="AH5">
        <f>'2_MechAdd_LowSeverity'!T5</f>
        <v/>
      </c>
      <c r="AI5">
        <f>'2_MechAdd_LowSeverity'!U5</f>
        <v/>
      </c>
      <c r="AJ5">
        <f>'2_MechAdd_ModSeverity'!S5</f>
        <v/>
      </c>
      <c r="AK5">
        <f>'2_MechAdd_ModSeverity'!T5</f>
        <v/>
      </c>
      <c r="AL5">
        <f>'2_MechAdd_ModSeverity'!U5</f>
        <v/>
      </c>
      <c r="AM5">
        <f>'2_MechAdd_HighSeverity'!S5</f>
        <v/>
      </c>
      <c r="AN5">
        <f>'2_MechAdd_HighSeverity'!T5</f>
        <v/>
      </c>
      <c r="AO5">
        <f>'2_MechAdd_HighSeverity'!U5</f>
        <v/>
      </c>
      <c r="AP5">
        <f>'2_MechAdd_LowSeverity'!V5</f>
        <v/>
      </c>
      <c r="AQ5">
        <f>'2_MechAdd_LowSeverity'!W5</f>
        <v/>
      </c>
      <c r="AR5">
        <f>'2_MechAdd_LowSeverity'!X5</f>
        <v/>
      </c>
      <c r="AS5">
        <f>'2_MechAdd_LowSeverity'!Y5</f>
        <v/>
      </c>
      <c r="AT5">
        <f>'2_MechAdd_ModSeverity'!W5</f>
        <v/>
      </c>
      <c r="AU5">
        <f>'2_MechAdd_ModSeverity'!X5</f>
        <v/>
      </c>
      <c r="AV5">
        <f>'2_MechAdd_ModSeverity'!Y5</f>
        <v/>
      </c>
      <c r="AW5">
        <f>'2_MechAdd_HighSeverity'!W5</f>
        <v/>
      </c>
      <c r="AX5">
        <f>'2_MechAdd_HighSeverity'!X5</f>
        <v/>
      </c>
      <c r="AY5">
        <f>'2_MechAdd_HighSeverity'!Y5</f>
        <v/>
      </c>
      <c r="AZ5">
        <f>'2_MechAdd_LowSeverity'!Z5</f>
        <v/>
      </c>
      <c r="BA5">
        <f>'2_MechAdd_LowSeverity'!AA5</f>
        <v/>
      </c>
      <c r="BB5">
        <f>'2_MechAdd_LowSeverity'!AB5</f>
        <v/>
      </c>
      <c r="BC5">
        <f>'2_MechAdd_LowSeverity'!AC5</f>
        <v/>
      </c>
      <c r="BD5">
        <f>'2_MechAdd_ModSeverity'!AA5</f>
        <v/>
      </c>
      <c r="BE5">
        <f>'2_MechAdd_ModSeverity'!AB5</f>
        <v/>
      </c>
      <c r="BF5">
        <f>'2_MechAdd_ModSeverity'!AC5</f>
        <v/>
      </c>
      <c r="BG5">
        <f>'2_MechAdd_HighSeverity'!AA5</f>
        <v/>
      </c>
      <c r="BH5">
        <f>'2_MechAdd_HighSeverity'!AB5</f>
        <v/>
      </c>
      <c r="BI5">
        <f>'2_MechAdd_HighSeverity'!AC5</f>
        <v/>
      </c>
    </row>
    <row r="6">
      <c r="A6" s="34">
        <f>'2_MechAdd_Script'!A6</f>
        <v/>
      </c>
      <c r="B6">
        <f>'2_MechAdd_LowSeverity'!F6</f>
        <v/>
      </c>
      <c r="C6">
        <f>'2_MechAdd_LowSeverity'!G6</f>
        <v/>
      </c>
      <c r="D6">
        <f>'2_MechAdd_LowSeverity'!H6</f>
        <v/>
      </c>
      <c r="E6">
        <f>'2_MechAdd_LowSeverity'!I6</f>
        <v/>
      </c>
      <c r="F6">
        <f>'2_MechAdd_ModSeverity'!G6</f>
        <v/>
      </c>
      <c r="G6">
        <f>'2_MechAdd_ModSeverity'!H6</f>
        <v/>
      </c>
      <c r="H6">
        <f>'2_MechAdd_ModSeverity'!I6</f>
        <v/>
      </c>
      <c r="I6">
        <f>'2_MechAdd_HighSeverity'!G6</f>
        <v/>
      </c>
      <c r="J6">
        <f>'2_MechAdd_HighSeverity'!H6</f>
        <v/>
      </c>
      <c r="K6">
        <f>'2_MechAdd_HighSeverity'!I6</f>
        <v/>
      </c>
      <c r="L6">
        <f>'2_MechAdd_LowSeverity'!J6</f>
        <v/>
      </c>
      <c r="M6">
        <f>'2_MechAdd_LowSeverity'!K6</f>
        <v/>
      </c>
      <c r="N6">
        <f>'2_MechAdd_LowSeverity'!L6</f>
        <v/>
      </c>
      <c r="O6">
        <f>'2_MechAdd_LowSeverity'!M6</f>
        <v/>
      </c>
      <c r="P6">
        <f>'2_MechAdd_ModSeverity'!K6</f>
        <v/>
      </c>
      <c r="Q6">
        <f>'2_MechAdd_ModSeverity'!L6</f>
        <v/>
      </c>
      <c r="R6">
        <f>'2_MechAdd_ModSeverity'!M6</f>
        <v/>
      </c>
      <c r="S6">
        <f>'2_MechAdd_HighSeverity'!K6</f>
        <v/>
      </c>
      <c r="T6">
        <f>'2_MechAdd_HighSeverity'!L6</f>
        <v/>
      </c>
      <c r="U6">
        <f>'2_MechAdd_HighSeverity'!M6</f>
        <v/>
      </c>
      <c r="V6">
        <f>'2_MechAdd_LowSeverity'!N6</f>
        <v/>
      </c>
      <c r="W6">
        <f>'2_MechAdd_LowSeverity'!O6</f>
        <v/>
      </c>
      <c r="X6">
        <f>'2_MechAdd_LowSeverity'!P6</f>
        <v/>
      </c>
      <c r="Y6">
        <f>'2_MechAdd_LowSeverity'!Q6</f>
        <v/>
      </c>
      <c r="Z6">
        <f>'2_MechAdd_ModSeverity'!O6</f>
        <v/>
      </c>
      <c r="AA6">
        <f>'2_MechAdd_ModSeverity'!P6</f>
        <v/>
      </c>
      <c r="AB6">
        <f>'2_MechAdd_ModSeverity'!Q6</f>
        <v/>
      </c>
      <c r="AC6">
        <f>'2_MechAdd_HighSeverity'!O6</f>
        <v/>
      </c>
      <c r="AD6">
        <f>'2_MechAdd_HighSeverity'!P6</f>
        <v/>
      </c>
      <c r="AE6">
        <f>'2_MechAdd_HighSeverity'!Q6</f>
        <v/>
      </c>
      <c r="AF6">
        <f>'2_MechAdd_LowSeverity'!R6</f>
        <v/>
      </c>
      <c r="AG6">
        <f>'2_MechAdd_LowSeverity'!S6</f>
        <v/>
      </c>
      <c r="AH6">
        <f>'2_MechAdd_LowSeverity'!T6</f>
        <v/>
      </c>
      <c r="AI6">
        <f>'2_MechAdd_LowSeverity'!U6</f>
        <v/>
      </c>
      <c r="AJ6">
        <f>'2_MechAdd_ModSeverity'!S6</f>
        <v/>
      </c>
      <c r="AK6">
        <f>'2_MechAdd_ModSeverity'!T6</f>
        <v/>
      </c>
      <c r="AL6">
        <f>'2_MechAdd_ModSeverity'!U6</f>
        <v/>
      </c>
      <c r="AM6">
        <f>'2_MechAdd_HighSeverity'!S6</f>
        <v/>
      </c>
      <c r="AN6">
        <f>'2_MechAdd_HighSeverity'!T6</f>
        <v/>
      </c>
      <c r="AO6">
        <f>'2_MechAdd_HighSeverity'!U6</f>
        <v/>
      </c>
      <c r="AP6">
        <f>'2_MechAdd_LowSeverity'!V6</f>
        <v/>
      </c>
      <c r="AQ6">
        <f>'2_MechAdd_LowSeverity'!W6</f>
        <v/>
      </c>
      <c r="AR6">
        <f>'2_MechAdd_LowSeverity'!X6</f>
        <v/>
      </c>
      <c r="AS6">
        <f>'2_MechAdd_LowSeverity'!Y6</f>
        <v/>
      </c>
      <c r="AT6">
        <f>'2_MechAdd_ModSeverity'!W6</f>
        <v/>
      </c>
      <c r="AU6">
        <f>'2_MechAdd_ModSeverity'!X6</f>
        <v/>
      </c>
      <c r="AV6">
        <f>'2_MechAdd_ModSeverity'!Y6</f>
        <v/>
      </c>
      <c r="AW6">
        <f>'2_MechAdd_HighSeverity'!W6</f>
        <v/>
      </c>
      <c r="AX6">
        <f>'2_MechAdd_HighSeverity'!X6</f>
        <v/>
      </c>
      <c r="AY6">
        <f>'2_MechAdd_HighSeverity'!Y6</f>
        <v/>
      </c>
      <c r="AZ6">
        <f>'2_MechAdd_LowSeverity'!Z6</f>
        <v/>
      </c>
      <c r="BA6">
        <f>'2_MechAdd_LowSeverity'!AA6</f>
        <v/>
      </c>
      <c r="BB6">
        <f>'2_MechAdd_LowSeverity'!AB6</f>
        <v/>
      </c>
      <c r="BC6">
        <f>'2_MechAdd_LowSeverity'!AC6</f>
        <v/>
      </c>
      <c r="BD6">
        <f>'2_MechAdd_ModSeverity'!AA6</f>
        <v/>
      </c>
      <c r="BE6">
        <f>'2_MechAdd_ModSeverity'!AB6</f>
        <v/>
      </c>
      <c r="BF6">
        <f>'2_MechAdd_ModSeverity'!AC6</f>
        <v/>
      </c>
      <c r="BG6">
        <f>'2_MechAdd_HighSeverity'!AA6</f>
        <v/>
      </c>
      <c r="BH6">
        <f>'2_MechAdd_HighSeverity'!AB6</f>
        <v/>
      </c>
      <c r="BI6">
        <f>'2_MechAdd_HighSeverity'!AC6</f>
        <v/>
      </c>
    </row>
    <row r="7">
      <c r="A7" s="34">
        <f>'2_MechAdd_Script'!A7</f>
        <v/>
      </c>
      <c r="B7">
        <f>'2_MechAdd_LowSeverity'!F7</f>
        <v/>
      </c>
      <c r="C7">
        <f>'2_MechAdd_LowSeverity'!G7</f>
        <v/>
      </c>
      <c r="D7">
        <f>'2_MechAdd_LowSeverity'!H7</f>
        <v/>
      </c>
      <c r="E7">
        <f>'2_MechAdd_LowSeverity'!I7</f>
        <v/>
      </c>
      <c r="F7">
        <f>'2_MechAdd_ModSeverity'!G7</f>
        <v/>
      </c>
      <c r="G7">
        <f>'2_MechAdd_ModSeverity'!H7</f>
        <v/>
      </c>
      <c r="H7">
        <f>'2_MechAdd_ModSeverity'!I7</f>
        <v/>
      </c>
      <c r="I7">
        <f>'2_MechAdd_HighSeverity'!G7</f>
        <v/>
      </c>
      <c r="J7">
        <f>'2_MechAdd_HighSeverity'!H7</f>
        <v/>
      </c>
      <c r="K7">
        <f>'2_MechAdd_HighSeverity'!I7</f>
        <v/>
      </c>
      <c r="L7">
        <f>'2_MechAdd_LowSeverity'!J7</f>
        <v/>
      </c>
      <c r="M7">
        <f>'2_MechAdd_LowSeverity'!K7</f>
        <v/>
      </c>
      <c r="N7">
        <f>'2_MechAdd_LowSeverity'!L7</f>
        <v/>
      </c>
      <c r="O7">
        <f>'2_MechAdd_LowSeverity'!M7</f>
        <v/>
      </c>
      <c r="P7">
        <f>'2_MechAdd_ModSeverity'!K7</f>
        <v/>
      </c>
      <c r="Q7">
        <f>'2_MechAdd_ModSeverity'!L7</f>
        <v/>
      </c>
      <c r="R7">
        <f>'2_MechAdd_ModSeverity'!M7</f>
        <v/>
      </c>
      <c r="S7">
        <f>'2_MechAdd_HighSeverity'!K7</f>
        <v/>
      </c>
      <c r="T7">
        <f>'2_MechAdd_HighSeverity'!L7</f>
        <v/>
      </c>
      <c r="U7">
        <f>'2_MechAdd_HighSeverity'!M7</f>
        <v/>
      </c>
      <c r="V7">
        <f>'2_MechAdd_LowSeverity'!N7</f>
        <v/>
      </c>
      <c r="W7">
        <f>'2_MechAdd_LowSeverity'!O7</f>
        <v/>
      </c>
      <c r="X7">
        <f>'2_MechAdd_LowSeverity'!P7</f>
        <v/>
      </c>
      <c r="Y7">
        <f>'2_MechAdd_LowSeverity'!Q7</f>
        <v/>
      </c>
      <c r="Z7">
        <f>'2_MechAdd_ModSeverity'!O7</f>
        <v/>
      </c>
      <c r="AA7">
        <f>'2_MechAdd_ModSeverity'!P7</f>
        <v/>
      </c>
      <c r="AB7">
        <f>'2_MechAdd_ModSeverity'!Q7</f>
        <v/>
      </c>
      <c r="AC7">
        <f>'2_MechAdd_HighSeverity'!O7</f>
        <v/>
      </c>
      <c r="AD7">
        <f>'2_MechAdd_HighSeverity'!P7</f>
        <v/>
      </c>
      <c r="AE7">
        <f>'2_MechAdd_HighSeverity'!Q7</f>
        <v/>
      </c>
      <c r="AF7">
        <f>'2_MechAdd_LowSeverity'!R7</f>
        <v/>
      </c>
      <c r="AG7">
        <f>'2_MechAdd_LowSeverity'!S7</f>
        <v/>
      </c>
      <c r="AH7">
        <f>'2_MechAdd_LowSeverity'!T7</f>
        <v/>
      </c>
      <c r="AI7">
        <f>'2_MechAdd_LowSeverity'!U7</f>
        <v/>
      </c>
      <c r="AJ7">
        <f>'2_MechAdd_ModSeverity'!S7</f>
        <v/>
      </c>
      <c r="AK7">
        <f>'2_MechAdd_ModSeverity'!T7</f>
        <v/>
      </c>
      <c r="AL7">
        <f>'2_MechAdd_ModSeverity'!U7</f>
        <v/>
      </c>
      <c r="AM7">
        <f>'2_MechAdd_HighSeverity'!S7</f>
        <v/>
      </c>
      <c r="AN7">
        <f>'2_MechAdd_HighSeverity'!T7</f>
        <v/>
      </c>
      <c r="AO7">
        <f>'2_MechAdd_HighSeverity'!U7</f>
        <v/>
      </c>
      <c r="AP7">
        <f>'2_MechAdd_LowSeverity'!V7</f>
        <v/>
      </c>
      <c r="AQ7">
        <f>'2_MechAdd_LowSeverity'!W7</f>
        <v/>
      </c>
      <c r="AR7">
        <f>'2_MechAdd_LowSeverity'!X7</f>
        <v/>
      </c>
      <c r="AS7">
        <f>'2_MechAdd_LowSeverity'!Y7</f>
        <v/>
      </c>
      <c r="AT7">
        <f>'2_MechAdd_ModSeverity'!W7</f>
        <v/>
      </c>
      <c r="AU7">
        <f>'2_MechAdd_ModSeverity'!X7</f>
        <v/>
      </c>
      <c r="AV7">
        <f>'2_MechAdd_ModSeverity'!Y7</f>
        <v/>
      </c>
      <c r="AW7">
        <f>'2_MechAdd_HighSeverity'!W7</f>
        <v/>
      </c>
      <c r="AX7">
        <f>'2_MechAdd_HighSeverity'!X7</f>
        <v/>
      </c>
      <c r="AY7">
        <f>'2_MechAdd_HighSeverity'!Y7</f>
        <v/>
      </c>
      <c r="AZ7">
        <f>'2_MechAdd_LowSeverity'!Z7</f>
        <v/>
      </c>
      <c r="BA7">
        <f>'2_MechAdd_LowSeverity'!AA7</f>
        <v/>
      </c>
      <c r="BB7">
        <f>'2_MechAdd_LowSeverity'!AB7</f>
        <v/>
      </c>
      <c r="BC7">
        <f>'2_MechAdd_LowSeverity'!AC7</f>
        <v/>
      </c>
      <c r="BD7">
        <f>'2_MechAdd_ModSeverity'!AA7</f>
        <v/>
      </c>
      <c r="BE7">
        <f>'2_MechAdd_ModSeverity'!AB7</f>
        <v/>
      </c>
      <c r="BF7">
        <f>'2_MechAdd_ModSeverity'!AC7</f>
        <v/>
      </c>
      <c r="BG7">
        <f>'2_MechAdd_HighSeverity'!AA7</f>
        <v/>
      </c>
      <c r="BH7">
        <f>'2_MechAdd_HighSeverity'!AB7</f>
        <v/>
      </c>
      <c r="BI7">
        <f>'2_MechAdd_HighSeverity'!AC7</f>
        <v/>
      </c>
    </row>
    <row r="8">
      <c r="A8" s="34">
        <f>'2_MechAdd_Script'!A8</f>
        <v/>
      </c>
      <c r="B8">
        <f>'2_MechAdd_LowSeverity'!F8</f>
        <v/>
      </c>
      <c r="C8">
        <f>'2_MechAdd_LowSeverity'!G8</f>
        <v/>
      </c>
      <c r="D8">
        <f>'2_MechAdd_LowSeverity'!H8</f>
        <v/>
      </c>
      <c r="E8">
        <f>'2_MechAdd_LowSeverity'!I8</f>
        <v/>
      </c>
      <c r="F8">
        <f>'2_MechAdd_ModSeverity'!G8</f>
        <v/>
      </c>
      <c r="G8">
        <f>'2_MechAdd_ModSeverity'!H8</f>
        <v/>
      </c>
      <c r="H8">
        <f>'2_MechAdd_ModSeverity'!I8</f>
        <v/>
      </c>
      <c r="I8">
        <f>'2_MechAdd_HighSeverity'!G8</f>
        <v/>
      </c>
      <c r="J8">
        <f>'2_MechAdd_HighSeverity'!H8</f>
        <v/>
      </c>
      <c r="K8">
        <f>'2_MechAdd_HighSeverity'!I8</f>
        <v/>
      </c>
      <c r="L8">
        <f>'2_MechAdd_LowSeverity'!J8</f>
        <v/>
      </c>
      <c r="M8">
        <f>'2_MechAdd_LowSeverity'!K8</f>
        <v/>
      </c>
      <c r="N8">
        <f>'2_MechAdd_LowSeverity'!L8</f>
        <v/>
      </c>
      <c r="O8">
        <f>'2_MechAdd_LowSeverity'!M8</f>
        <v/>
      </c>
      <c r="P8">
        <f>'2_MechAdd_ModSeverity'!K8</f>
        <v/>
      </c>
      <c r="Q8">
        <f>'2_MechAdd_ModSeverity'!L8</f>
        <v/>
      </c>
      <c r="R8">
        <f>'2_MechAdd_ModSeverity'!M8</f>
        <v/>
      </c>
      <c r="S8">
        <f>'2_MechAdd_HighSeverity'!K8</f>
        <v/>
      </c>
      <c r="T8">
        <f>'2_MechAdd_HighSeverity'!L8</f>
        <v/>
      </c>
      <c r="U8">
        <f>'2_MechAdd_HighSeverity'!M8</f>
        <v/>
      </c>
      <c r="V8">
        <f>'2_MechAdd_LowSeverity'!N8</f>
        <v/>
      </c>
      <c r="W8">
        <f>'2_MechAdd_LowSeverity'!O8</f>
        <v/>
      </c>
      <c r="X8">
        <f>'2_MechAdd_LowSeverity'!P8</f>
        <v/>
      </c>
      <c r="Y8">
        <f>'2_MechAdd_LowSeverity'!Q8</f>
        <v/>
      </c>
      <c r="Z8">
        <f>'2_MechAdd_ModSeverity'!O8</f>
        <v/>
      </c>
      <c r="AA8">
        <f>'2_MechAdd_ModSeverity'!P8</f>
        <v/>
      </c>
      <c r="AB8">
        <f>'2_MechAdd_ModSeverity'!Q8</f>
        <v/>
      </c>
      <c r="AC8">
        <f>'2_MechAdd_HighSeverity'!O8</f>
        <v/>
      </c>
      <c r="AD8">
        <f>'2_MechAdd_HighSeverity'!P8</f>
        <v/>
      </c>
      <c r="AE8">
        <f>'2_MechAdd_HighSeverity'!Q8</f>
        <v/>
      </c>
      <c r="AF8">
        <f>'2_MechAdd_LowSeverity'!R8</f>
        <v/>
      </c>
      <c r="AG8">
        <f>'2_MechAdd_LowSeverity'!S8</f>
        <v/>
      </c>
      <c r="AH8">
        <f>'2_MechAdd_LowSeverity'!T8</f>
        <v/>
      </c>
      <c r="AI8">
        <f>'2_MechAdd_LowSeverity'!U8</f>
        <v/>
      </c>
      <c r="AJ8">
        <f>'2_MechAdd_ModSeverity'!S8</f>
        <v/>
      </c>
      <c r="AK8">
        <f>'2_MechAdd_ModSeverity'!T8</f>
        <v/>
      </c>
      <c r="AL8">
        <f>'2_MechAdd_ModSeverity'!U8</f>
        <v/>
      </c>
      <c r="AM8">
        <f>'2_MechAdd_HighSeverity'!S8</f>
        <v/>
      </c>
      <c r="AN8">
        <f>'2_MechAdd_HighSeverity'!T8</f>
        <v/>
      </c>
      <c r="AO8">
        <f>'2_MechAdd_HighSeverity'!U8</f>
        <v/>
      </c>
      <c r="AP8">
        <f>'2_MechAdd_LowSeverity'!V8</f>
        <v/>
      </c>
      <c r="AQ8">
        <f>'2_MechAdd_LowSeverity'!W8</f>
        <v/>
      </c>
      <c r="AR8">
        <f>'2_MechAdd_LowSeverity'!X8</f>
        <v/>
      </c>
      <c r="AS8">
        <f>'2_MechAdd_LowSeverity'!Y8</f>
        <v/>
      </c>
      <c r="AT8">
        <f>'2_MechAdd_ModSeverity'!W8</f>
        <v/>
      </c>
      <c r="AU8">
        <f>'2_MechAdd_ModSeverity'!X8</f>
        <v/>
      </c>
      <c r="AV8">
        <f>'2_MechAdd_ModSeverity'!Y8</f>
        <v/>
      </c>
      <c r="AW8">
        <f>'2_MechAdd_HighSeverity'!W8</f>
        <v/>
      </c>
      <c r="AX8">
        <f>'2_MechAdd_HighSeverity'!X8</f>
        <v/>
      </c>
      <c r="AY8">
        <f>'2_MechAdd_HighSeverity'!Y8</f>
        <v/>
      </c>
      <c r="AZ8">
        <f>'2_MechAdd_LowSeverity'!Z8</f>
        <v/>
      </c>
      <c r="BA8">
        <f>'2_MechAdd_LowSeverity'!AA8</f>
        <v/>
      </c>
      <c r="BB8">
        <f>'2_MechAdd_LowSeverity'!AB8</f>
        <v/>
      </c>
      <c r="BC8">
        <f>'2_MechAdd_LowSeverity'!AC8</f>
        <v/>
      </c>
      <c r="BD8">
        <f>'2_MechAdd_ModSeverity'!AA8</f>
        <v/>
      </c>
      <c r="BE8">
        <f>'2_MechAdd_ModSeverity'!AB8</f>
        <v/>
      </c>
      <c r="BF8">
        <f>'2_MechAdd_ModSeverity'!AC8</f>
        <v/>
      </c>
      <c r="BG8">
        <f>'2_MechAdd_HighSeverity'!AA8</f>
        <v/>
      </c>
      <c r="BH8">
        <f>'2_MechAdd_HighSeverity'!AB8</f>
        <v/>
      </c>
      <c r="BI8">
        <f>'2_MechAdd_HighSeverity'!AC8</f>
        <v/>
      </c>
    </row>
    <row r="9">
      <c r="A9" s="34">
        <f>'2_MechAdd_Script'!A9</f>
        <v/>
      </c>
      <c r="B9">
        <f>'2_MechAdd_LowSeverity'!F9</f>
        <v/>
      </c>
      <c r="C9">
        <f>'2_MechAdd_LowSeverity'!G9</f>
        <v/>
      </c>
      <c r="D9">
        <f>'2_MechAdd_LowSeverity'!H9</f>
        <v/>
      </c>
      <c r="E9">
        <f>'2_MechAdd_LowSeverity'!I9</f>
        <v/>
      </c>
      <c r="F9">
        <f>'2_MechAdd_ModSeverity'!G9</f>
        <v/>
      </c>
      <c r="G9">
        <f>'2_MechAdd_ModSeverity'!H9</f>
        <v/>
      </c>
      <c r="H9">
        <f>'2_MechAdd_ModSeverity'!I9</f>
        <v/>
      </c>
      <c r="I9">
        <f>'2_MechAdd_HighSeverity'!G9</f>
        <v/>
      </c>
      <c r="J9">
        <f>'2_MechAdd_HighSeverity'!H9</f>
        <v/>
      </c>
      <c r="K9">
        <f>'2_MechAdd_HighSeverity'!I9</f>
        <v/>
      </c>
      <c r="L9">
        <f>'2_MechAdd_LowSeverity'!J9</f>
        <v/>
      </c>
      <c r="M9">
        <f>'2_MechAdd_LowSeverity'!K9</f>
        <v/>
      </c>
      <c r="N9">
        <f>'2_MechAdd_LowSeverity'!L9</f>
        <v/>
      </c>
      <c r="O9">
        <f>'2_MechAdd_LowSeverity'!M9</f>
        <v/>
      </c>
      <c r="P9">
        <f>'2_MechAdd_ModSeverity'!K9</f>
        <v/>
      </c>
      <c r="Q9">
        <f>'2_MechAdd_ModSeverity'!L9</f>
        <v/>
      </c>
      <c r="R9">
        <f>'2_MechAdd_ModSeverity'!M9</f>
        <v/>
      </c>
      <c r="S9">
        <f>'2_MechAdd_HighSeverity'!K9</f>
        <v/>
      </c>
      <c r="T9">
        <f>'2_MechAdd_HighSeverity'!L9</f>
        <v/>
      </c>
      <c r="U9">
        <f>'2_MechAdd_HighSeverity'!M9</f>
        <v/>
      </c>
      <c r="V9">
        <f>'2_MechAdd_LowSeverity'!N9</f>
        <v/>
      </c>
      <c r="W9">
        <f>'2_MechAdd_LowSeverity'!O9</f>
        <v/>
      </c>
      <c r="X9">
        <f>'2_MechAdd_LowSeverity'!P9</f>
        <v/>
      </c>
      <c r="Y9">
        <f>'2_MechAdd_LowSeverity'!Q9</f>
        <v/>
      </c>
      <c r="Z9">
        <f>'2_MechAdd_ModSeverity'!O9</f>
        <v/>
      </c>
      <c r="AA9">
        <f>'2_MechAdd_ModSeverity'!P9</f>
        <v/>
      </c>
      <c r="AB9">
        <f>'2_MechAdd_ModSeverity'!Q9</f>
        <v/>
      </c>
      <c r="AC9">
        <f>'2_MechAdd_HighSeverity'!O9</f>
        <v/>
      </c>
      <c r="AD9">
        <f>'2_MechAdd_HighSeverity'!P9</f>
        <v/>
      </c>
      <c r="AE9">
        <f>'2_MechAdd_HighSeverity'!Q9</f>
        <v/>
      </c>
      <c r="AF9">
        <f>'2_MechAdd_LowSeverity'!R9</f>
        <v/>
      </c>
      <c r="AG9">
        <f>'2_MechAdd_LowSeverity'!S9</f>
        <v/>
      </c>
      <c r="AH9">
        <f>'2_MechAdd_LowSeverity'!T9</f>
        <v/>
      </c>
      <c r="AI9">
        <f>'2_MechAdd_LowSeverity'!U9</f>
        <v/>
      </c>
      <c r="AJ9">
        <f>'2_MechAdd_ModSeverity'!S9</f>
        <v/>
      </c>
      <c r="AK9">
        <f>'2_MechAdd_ModSeverity'!T9</f>
        <v/>
      </c>
      <c r="AL9">
        <f>'2_MechAdd_ModSeverity'!U9</f>
        <v/>
      </c>
      <c r="AM9">
        <f>'2_MechAdd_HighSeverity'!S9</f>
        <v/>
      </c>
      <c r="AN9">
        <f>'2_MechAdd_HighSeverity'!T9</f>
        <v/>
      </c>
      <c r="AO9">
        <f>'2_MechAdd_HighSeverity'!U9</f>
        <v/>
      </c>
      <c r="AP9">
        <f>'2_MechAdd_LowSeverity'!V9</f>
        <v/>
      </c>
      <c r="AQ9">
        <f>'2_MechAdd_LowSeverity'!W9</f>
        <v/>
      </c>
      <c r="AR9">
        <f>'2_MechAdd_LowSeverity'!X9</f>
        <v/>
      </c>
      <c r="AS9">
        <f>'2_MechAdd_LowSeverity'!Y9</f>
        <v/>
      </c>
      <c r="AT9">
        <f>'2_MechAdd_ModSeverity'!W9</f>
        <v/>
      </c>
      <c r="AU9">
        <f>'2_MechAdd_ModSeverity'!X9</f>
        <v/>
      </c>
      <c r="AV9">
        <f>'2_MechAdd_ModSeverity'!Y9</f>
        <v/>
      </c>
      <c r="AW9">
        <f>'2_MechAdd_HighSeverity'!W9</f>
        <v/>
      </c>
      <c r="AX9">
        <f>'2_MechAdd_HighSeverity'!X9</f>
        <v/>
      </c>
      <c r="AY9">
        <f>'2_MechAdd_HighSeverity'!Y9</f>
        <v/>
      </c>
      <c r="AZ9">
        <f>'2_MechAdd_LowSeverity'!Z9</f>
        <v/>
      </c>
      <c r="BA9">
        <f>'2_MechAdd_LowSeverity'!AA9</f>
        <v/>
      </c>
      <c r="BB9">
        <f>'2_MechAdd_LowSeverity'!AB9</f>
        <v/>
      </c>
      <c r="BC9">
        <f>'2_MechAdd_LowSeverity'!AC9</f>
        <v/>
      </c>
      <c r="BD9">
        <f>'2_MechAdd_ModSeverity'!AA9</f>
        <v/>
      </c>
      <c r="BE9">
        <f>'2_MechAdd_ModSeverity'!AB9</f>
        <v/>
      </c>
      <c r="BF9">
        <f>'2_MechAdd_ModSeverity'!AC9</f>
        <v/>
      </c>
      <c r="BG9">
        <f>'2_MechAdd_HighSeverity'!AA9</f>
        <v/>
      </c>
      <c r="BH9">
        <f>'2_MechAdd_HighSeverity'!AB9</f>
        <v/>
      </c>
      <c r="BI9">
        <f>'2_MechAdd_HighSeverity'!AC9</f>
        <v/>
      </c>
    </row>
    <row r="10">
      <c r="A10" s="34">
        <f>'2_MechAdd_Script'!A10</f>
        <v/>
      </c>
      <c r="B10">
        <f>'2_MechAdd_LowSeverity'!F10</f>
        <v/>
      </c>
      <c r="C10">
        <f>'2_MechAdd_LowSeverity'!G10</f>
        <v/>
      </c>
      <c r="D10">
        <f>'2_MechAdd_LowSeverity'!H10</f>
        <v/>
      </c>
      <c r="E10">
        <f>'2_MechAdd_LowSeverity'!I10</f>
        <v/>
      </c>
      <c r="F10">
        <f>'2_MechAdd_ModSeverity'!G10</f>
        <v/>
      </c>
      <c r="G10">
        <f>'2_MechAdd_ModSeverity'!H10</f>
        <v/>
      </c>
      <c r="H10">
        <f>'2_MechAdd_ModSeverity'!I10</f>
        <v/>
      </c>
      <c r="I10">
        <f>'2_MechAdd_HighSeverity'!G10</f>
        <v/>
      </c>
      <c r="J10">
        <f>'2_MechAdd_HighSeverity'!H10</f>
        <v/>
      </c>
      <c r="K10">
        <f>'2_MechAdd_HighSeverity'!I10</f>
        <v/>
      </c>
      <c r="L10">
        <f>'2_MechAdd_LowSeverity'!J10</f>
        <v/>
      </c>
      <c r="M10">
        <f>'2_MechAdd_LowSeverity'!K10</f>
        <v/>
      </c>
      <c r="N10">
        <f>'2_MechAdd_LowSeverity'!L10</f>
        <v/>
      </c>
      <c r="O10">
        <f>'2_MechAdd_LowSeverity'!M10</f>
        <v/>
      </c>
      <c r="P10">
        <f>'2_MechAdd_ModSeverity'!K10</f>
        <v/>
      </c>
      <c r="Q10">
        <f>'2_MechAdd_ModSeverity'!L10</f>
        <v/>
      </c>
      <c r="R10">
        <f>'2_MechAdd_ModSeverity'!M10</f>
        <v/>
      </c>
      <c r="S10">
        <f>'2_MechAdd_HighSeverity'!K10</f>
        <v/>
      </c>
      <c r="T10">
        <f>'2_MechAdd_HighSeverity'!L10</f>
        <v/>
      </c>
      <c r="U10">
        <f>'2_MechAdd_HighSeverity'!M10</f>
        <v/>
      </c>
      <c r="V10">
        <f>'2_MechAdd_LowSeverity'!N10</f>
        <v/>
      </c>
      <c r="W10">
        <f>'2_MechAdd_LowSeverity'!O10</f>
        <v/>
      </c>
      <c r="X10">
        <f>'2_MechAdd_LowSeverity'!P10</f>
        <v/>
      </c>
      <c r="Y10">
        <f>'2_MechAdd_LowSeverity'!Q10</f>
        <v/>
      </c>
      <c r="Z10">
        <f>'2_MechAdd_ModSeverity'!O10</f>
        <v/>
      </c>
      <c r="AA10">
        <f>'2_MechAdd_ModSeverity'!P10</f>
        <v/>
      </c>
      <c r="AB10">
        <f>'2_MechAdd_ModSeverity'!Q10</f>
        <v/>
      </c>
      <c r="AC10">
        <f>'2_MechAdd_HighSeverity'!O10</f>
        <v/>
      </c>
      <c r="AD10">
        <f>'2_MechAdd_HighSeverity'!P10</f>
        <v/>
      </c>
      <c r="AE10">
        <f>'2_MechAdd_HighSeverity'!Q10</f>
        <v/>
      </c>
      <c r="AF10">
        <f>'2_MechAdd_LowSeverity'!R10</f>
        <v/>
      </c>
      <c r="AG10">
        <f>'2_MechAdd_LowSeverity'!S10</f>
        <v/>
      </c>
      <c r="AH10">
        <f>'2_MechAdd_LowSeverity'!T10</f>
        <v/>
      </c>
      <c r="AI10">
        <f>'2_MechAdd_LowSeverity'!U10</f>
        <v/>
      </c>
      <c r="AJ10">
        <f>'2_MechAdd_ModSeverity'!S10</f>
        <v/>
      </c>
      <c r="AK10">
        <f>'2_MechAdd_ModSeverity'!T10</f>
        <v/>
      </c>
      <c r="AL10">
        <f>'2_MechAdd_ModSeverity'!U10</f>
        <v/>
      </c>
      <c r="AM10">
        <f>'2_MechAdd_HighSeverity'!S10</f>
        <v/>
      </c>
      <c r="AN10">
        <f>'2_MechAdd_HighSeverity'!T10</f>
        <v/>
      </c>
      <c r="AO10">
        <f>'2_MechAdd_HighSeverity'!U10</f>
        <v/>
      </c>
      <c r="AP10">
        <f>'2_MechAdd_LowSeverity'!V10</f>
        <v/>
      </c>
      <c r="AQ10">
        <f>'2_MechAdd_LowSeverity'!W10</f>
        <v/>
      </c>
      <c r="AR10">
        <f>'2_MechAdd_LowSeverity'!X10</f>
        <v/>
      </c>
      <c r="AS10">
        <f>'2_MechAdd_LowSeverity'!Y10</f>
        <v/>
      </c>
      <c r="AT10">
        <f>'2_MechAdd_ModSeverity'!W10</f>
        <v/>
      </c>
      <c r="AU10">
        <f>'2_MechAdd_ModSeverity'!X10</f>
        <v/>
      </c>
      <c r="AV10">
        <f>'2_MechAdd_ModSeverity'!Y10</f>
        <v/>
      </c>
      <c r="AW10">
        <f>'2_MechAdd_HighSeverity'!W10</f>
        <v/>
      </c>
      <c r="AX10">
        <f>'2_MechAdd_HighSeverity'!X10</f>
        <v/>
      </c>
      <c r="AY10">
        <f>'2_MechAdd_HighSeverity'!Y10</f>
        <v/>
      </c>
      <c r="AZ10">
        <f>'2_MechAdd_LowSeverity'!Z10</f>
        <v/>
      </c>
      <c r="BA10">
        <f>'2_MechAdd_LowSeverity'!AA10</f>
        <v/>
      </c>
      <c r="BB10">
        <f>'2_MechAdd_LowSeverity'!AB10</f>
        <v/>
      </c>
      <c r="BC10">
        <f>'2_MechAdd_LowSeverity'!AC10</f>
        <v/>
      </c>
      <c r="BD10">
        <f>'2_MechAdd_ModSeverity'!AA10</f>
        <v/>
      </c>
      <c r="BE10">
        <f>'2_MechAdd_ModSeverity'!AB10</f>
        <v/>
      </c>
      <c r="BF10">
        <f>'2_MechAdd_ModSeverity'!AC10</f>
        <v/>
      </c>
      <c r="BG10">
        <f>'2_MechAdd_HighSeverity'!AA10</f>
        <v/>
      </c>
      <c r="BH10">
        <f>'2_MechAdd_HighSeverity'!AB10</f>
        <v/>
      </c>
      <c r="BI10">
        <f>'2_MechAdd_HighSeverity'!AC10</f>
        <v/>
      </c>
    </row>
    <row r="11">
      <c r="A11" s="34">
        <f>'2_MechAdd_Script'!A11</f>
        <v/>
      </c>
      <c r="B11">
        <f>'2_MechAdd_LowSeverity'!F11</f>
        <v/>
      </c>
      <c r="C11">
        <f>'2_MechAdd_LowSeverity'!G11</f>
        <v/>
      </c>
      <c r="D11">
        <f>'2_MechAdd_LowSeverity'!H11</f>
        <v/>
      </c>
      <c r="E11">
        <f>'2_MechAdd_LowSeverity'!I11</f>
        <v/>
      </c>
      <c r="F11">
        <f>'2_MechAdd_ModSeverity'!G11</f>
        <v/>
      </c>
      <c r="G11">
        <f>'2_MechAdd_ModSeverity'!H11</f>
        <v/>
      </c>
      <c r="H11">
        <f>'2_MechAdd_ModSeverity'!I11</f>
        <v/>
      </c>
      <c r="I11">
        <f>'2_MechAdd_HighSeverity'!G11</f>
        <v/>
      </c>
      <c r="J11">
        <f>'2_MechAdd_HighSeverity'!H11</f>
        <v/>
      </c>
      <c r="K11">
        <f>'2_MechAdd_HighSeverity'!I11</f>
        <v/>
      </c>
      <c r="L11">
        <f>'2_MechAdd_LowSeverity'!J11</f>
        <v/>
      </c>
      <c r="M11">
        <f>'2_MechAdd_LowSeverity'!K11</f>
        <v/>
      </c>
      <c r="N11">
        <f>'2_MechAdd_LowSeverity'!L11</f>
        <v/>
      </c>
      <c r="O11">
        <f>'2_MechAdd_LowSeverity'!M11</f>
        <v/>
      </c>
      <c r="P11">
        <f>'2_MechAdd_ModSeverity'!K11</f>
        <v/>
      </c>
      <c r="Q11">
        <f>'2_MechAdd_ModSeverity'!L11</f>
        <v/>
      </c>
      <c r="R11">
        <f>'2_MechAdd_ModSeverity'!M11</f>
        <v/>
      </c>
      <c r="S11">
        <f>'2_MechAdd_HighSeverity'!K11</f>
        <v/>
      </c>
      <c r="T11">
        <f>'2_MechAdd_HighSeverity'!L11</f>
        <v/>
      </c>
      <c r="U11">
        <f>'2_MechAdd_HighSeverity'!M11</f>
        <v/>
      </c>
      <c r="V11">
        <f>'2_MechAdd_LowSeverity'!N11</f>
        <v/>
      </c>
      <c r="W11">
        <f>'2_MechAdd_LowSeverity'!O11</f>
        <v/>
      </c>
      <c r="X11">
        <f>'2_MechAdd_LowSeverity'!P11</f>
        <v/>
      </c>
      <c r="Y11">
        <f>'2_MechAdd_LowSeverity'!Q11</f>
        <v/>
      </c>
      <c r="Z11">
        <f>'2_MechAdd_ModSeverity'!O11</f>
        <v/>
      </c>
      <c r="AA11">
        <f>'2_MechAdd_ModSeverity'!P11</f>
        <v/>
      </c>
      <c r="AB11">
        <f>'2_MechAdd_ModSeverity'!Q11</f>
        <v/>
      </c>
      <c r="AC11">
        <f>'2_MechAdd_HighSeverity'!O11</f>
        <v/>
      </c>
      <c r="AD11">
        <f>'2_MechAdd_HighSeverity'!P11</f>
        <v/>
      </c>
      <c r="AE11">
        <f>'2_MechAdd_HighSeverity'!Q11</f>
        <v/>
      </c>
      <c r="AF11">
        <f>'2_MechAdd_LowSeverity'!R11</f>
        <v/>
      </c>
      <c r="AG11">
        <f>'2_MechAdd_LowSeverity'!S11</f>
        <v/>
      </c>
      <c r="AH11">
        <f>'2_MechAdd_LowSeverity'!T11</f>
        <v/>
      </c>
      <c r="AI11">
        <f>'2_MechAdd_LowSeverity'!U11</f>
        <v/>
      </c>
      <c r="AJ11">
        <f>'2_MechAdd_ModSeverity'!S11</f>
        <v/>
      </c>
      <c r="AK11">
        <f>'2_MechAdd_ModSeverity'!T11</f>
        <v/>
      </c>
      <c r="AL11">
        <f>'2_MechAdd_ModSeverity'!U11</f>
        <v/>
      </c>
      <c r="AM11">
        <f>'2_MechAdd_HighSeverity'!S11</f>
        <v/>
      </c>
      <c r="AN11">
        <f>'2_MechAdd_HighSeverity'!T11</f>
        <v/>
      </c>
      <c r="AO11">
        <f>'2_MechAdd_HighSeverity'!U11</f>
        <v/>
      </c>
      <c r="AP11">
        <f>'2_MechAdd_LowSeverity'!V11</f>
        <v/>
      </c>
      <c r="AQ11">
        <f>'2_MechAdd_LowSeverity'!W11</f>
        <v/>
      </c>
      <c r="AR11">
        <f>'2_MechAdd_LowSeverity'!X11</f>
        <v/>
      </c>
      <c r="AS11">
        <f>'2_MechAdd_LowSeverity'!Y11</f>
        <v/>
      </c>
      <c r="AT11">
        <f>'2_MechAdd_ModSeverity'!W11</f>
        <v/>
      </c>
      <c r="AU11">
        <f>'2_MechAdd_ModSeverity'!X11</f>
        <v/>
      </c>
      <c r="AV11">
        <f>'2_MechAdd_ModSeverity'!Y11</f>
        <v/>
      </c>
      <c r="AW11">
        <f>'2_MechAdd_HighSeverity'!W11</f>
        <v/>
      </c>
      <c r="AX11">
        <f>'2_MechAdd_HighSeverity'!X11</f>
        <v/>
      </c>
      <c r="AY11">
        <f>'2_MechAdd_HighSeverity'!Y11</f>
        <v/>
      </c>
      <c r="AZ11">
        <f>'2_MechAdd_LowSeverity'!Z11</f>
        <v/>
      </c>
      <c r="BA11">
        <f>'2_MechAdd_LowSeverity'!AA11</f>
        <v/>
      </c>
      <c r="BB11">
        <f>'2_MechAdd_LowSeverity'!AB11</f>
        <v/>
      </c>
      <c r="BC11">
        <f>'2_MechAdd_LowSeverity'!AC11</f>
        <v/>
      </c>
      <c r="BD11">
        <f>'2_MechAdd_ModSeverity'!AA11</f>
        <v/>
      </c>
      <c r="BE11">
        <f>'2_MechAdd_ModSeverity'!AB11</f>
        <v/>
      </c>
      <c r="BF11">
        <f>'2_MechAdd_ModSeverity'!AC11</f>
        <v/>
      </c>
      <c r="BG11">
        <f>'2_MechAdd_HighSeverity'!AA11</f>
        <v/>
      </c>
      <c r="BH11">
        <f>'2_MechAdd_HighSeverity'!AB11</f>
        <v/>
      </c>
      <c r="BI11">
        <f>'2_MechAdd_HighSeverity'!AC11</f>
        <v/>
      </c>
    </row>
    <row r="12">
      <c r="A12" s="34">
        <f>'2_MechAdd_Script'!A12</f>
        <v/>
      </c>
      <c r="B12">
        <f>'2_MechAdd_LowSeverity'!F12</f>
        <v/>
      </c>
      <c r="C12">
        <f>'2_MechAdd_LowSeverity'!G12</f>
        <v/>
      </c>
      <c r="D12">
        <f>'2_MechAdd_LowSeverity'!H12</f>
        <v/>
      </c>
      <c r="E12">
        <f>'2_MechAdd_LowSeverity'!I12</f>
        <v/>
      </c>
      <c r="F12">
        <f>'2_MechAdd_ModSeverity'!G12</f>
        <v/>
      </c>
      <c r="G12">
        <f>'2_MechAdd_ModSeverity'!H12</f>
        <v/>
      </c>
      <c r="H12">
        <f>'2_MechAdd_ModSeverity'!I12</f>
        <v/>
      </c>
      <c r="I12">
        <f>'2_MechAdd_HighSeverity'!G12</f>
        <v/>
      </c>
      <c r="J12">
        <f>'2_MechAdd_HighSeverity'!H12</f>
        <v/>
      </c>
      <c r="K12">
        <f>'2_MechAdd_HighSeverity'!I12</f>
        <v/>
      </c>
      <c r="L12">
        <f>'2_MechAdd_LowSeverity'!J12</f>
        <v/>
      </c>
      <c r="M12">
        <f>'2_MechAdd_LowSeverity'!K12</f>
        <v/>
      </c>
      <c r="N12">
        <f>'2_MechAdd_LowSeverity'!L12</f>
        <v/>
      </c>
      <c r="O12">
        <f>'2_MechAdd_LowSeverity'!M12</f>
        <v/>
      </c>
      <c r="P12">
        <f>'2_MechAdd_ModSeverity'!K12</f>
        <v/>
      </c>
      <c r="Q12">
        <f>'2_MechAdd_ModSeverity'!L12</f>
        <v/>
      </c>
      <c r="R12">
        <f>'2_MechAdd_ModSeverity'!M12</f>
        <v/>
      </c>
      <c r="S12">
        <f>'2_MechAdd_HighSeverity'!K12</f>
        <v/>
      </c>
      <c r="T12">
        <f>'2_MechAdd_HighSeverity'!L12</f>
        <v/>
      </c>
      <c r="U12">
        <f>'2_MechAdd_HighSeverity'!M12</f>
        <v/>
      </c>
      <c r="V12">
        <f>'2_MechAdd_LowSeverity'!N12</f>
        <v/>
      </c>
      <c r="W12">
        <f>'2_MechAdd_LowSeverity'!O12</f>
        <v/>
      </c>
      <c r="X12">
        <f>'2_MechAdd_LowSeverity'!P12</f>
        <v/>
      </c>
      <c r="Y12">
        <f>'2_MechAdd_LowSeverity'!Q12</f>
        <v/>
      </c>
      <c r="Z12">
        <f>'2_MechAdd_ModSeverity'!O12</f>
        <v/>
      </c>
      <c r="AA12">
        <f>'2_MechAdd_ModSeverity'!P12</f>
        <v/>
      </c>
      <c r="AB12">
        <f>'2_MechAdd_ModSeverity'!Q12</f>
        <v/>
      </c>
      <c r="AC12">
        <f>'2_MechAdd_HighSeverity'!O12</f>
        <v/>
      </c>
      <c r="AD12">
        <f>'2_MechAdd_HighSeverity'!P12</f>
        <v/>
      </c>
      <c r="AE12">
        <f>'2_MechAdd_HighSeverity'!Q12</f>
        <v/>
      </c>
      <c r="AF12">
        <f>'2_MechAdd_LowSeverity'!R12</f>
        <v/>
      </c>
      <c r="AG12">
        <f>'2_MechAdd_LowSeverity'!S12</f>
        <v/>
      </c>
      <c r="AH12">
        <f>'2_MechAdd_LowSeverity'!T12</f>
        <v/>
      </c>
      <c r="AI12">
        <f>'2_MechAdd_LowSeverity'!U12</f>
        <v/>
      </c>
      <c r="AJ12">
        <f>'2_MechAdd_ModSeverity'!S12</f>
        <v/>
      </c>
      <c r="AK12">
        <f>'2_MechAdd_ModSeverity'!T12</f>
        <v/>
      </c>
      <c r="AL12">
        <f>'2_MechAdd_ModSeverity'!U12</f>
        <v/>
      </c>
      <c r="AM12">
        <f>'2_MechAdd_HighSeverity'!S12</f>
        <v/>
      </c>
      <c r="AN12">
        <f>'2_MechAdd_HighSeverity'!T12</f>
        <v/>
      </c>
      <c r="AO12">
        <f>'2_MechAdd_HighSeverity'!U12</f>
        <v/>
      </c>
      <c r="AP12">
        <f>'2_MechAdd_LowSeverity'!V12</f>
        <v/>
      </c>
      <c r="AQ12">
        <f>'2_MechAdd_LowSeverity'!W12</f>
        <v/>
      </c>
      <c r="AR12">
        <f>'2_MechAdd_LowSeverity'!X12</f>
        <v/>
      </c>
      <c r="AS12">
        <f>'2_MechAdd_LowSeverity'!Y12</f>
        <v/>
      </c>
      <c r="AT12">
        <f>'2_MechAdd_ModSeverity'!W12</f>
        <v/>
      </c>
      <c r="AU12">
        <f>'2_MechAdd_ModSeverity'!X12</f>
        <v/>
      </c>
      <c r="AV12">
        <f>'2_MechAdd_ModSeverity'!Y12</f>
        <v/>
      </c>
      <c r="AW12">
        <f>'2_MechAdd_HighSeverity'!W12</f>
        <v/>
      </c>
      <c r="AX12">
        <f>'2_MechAdd_HighSeverity'!X12</f>
        <v/>
      </c>
      <c r="AY12">
        <f>'2_MechAdd_HighSeverity'!Y12</f>
        <v/>
      </c>
      <c r="AZ12">
        <f>'2_MechAdd_LowSeverity'!Z12</f>
        <v/>
      </c>
      <c r="BA12">
        <f>'2_MechAdd_LowSeverity'!AA12</f>
        <v/>
      </c>
      <c r="BB12">
        <f>'2_MechAdd_LowSeverity'!AB12</f>
        <v/>
      </c>
      <c r="BC12">
        <f>'2_MechAdd_LowSeverity'!AC12</f>
        <v/>
      </c>
      <c r="BD12">
        <f>'2_MechAdd_ModSeverity'!AA12</f>
        <v/>
      </c>
      <c r="BE12">
        <f>'2_MechAdd_ModSeverity'!AB12</f>
        <v/>
      </c>
      <c r="BF12">
        <f>'2_MechAdd_ModSeverity'!AC12</f>
        <v/>
      </c>
      <c r="BG12">
        <f>'2_MechAdd_HighSeverity'!AA12</f>
        <v/>
      </c>
      <c r="BH12">
        <f>'2_MechAdd_HighSeverity'!AB12</f>
        <v/>
      </c>
      <c r="BI12">
        <f>'2_MechAdd_HighSeverity'!AC12</f>
        <v/>
      </c>
    </row>
    <row r="13">
      <c r="A13" s="34">
        <f>'2_MechAdd_Script'!A13</f>
        <v/>
      </c>
      <c r="B13">
        <f>'2_MechAdd_LowSeverity'!F13</f>
        <v/>
      </c>
      <c r="C13">
        <f>'2_MechAdd_LowSeverity'!G13</f>
        <v/>
      </c>
      <c r="D13">
        <f>'2_MechAdd_LowSeverity'!H13</f>
        <v/>
      </c>
      <c r="E13">
        <f>'2_MechAdd_LowSeverity'!I13</f>
        <v/>
      </c>
      <c r="F13">
        <f>'2_MechAdd_ModSeverity'!G13</f>
        <v/>
      </c>
      <c r="G13">
        <f>'2_MechAdd_ModSeverity'!H13</f>
        <v/>
      </c>
      <c r="H13">
        <f>'2_MechAdd_ModSeverity'!I13</f>
        <v/>
      </c>
      <c r="I13">
        <f>'2_MechAdd_HighSeverity'!G13</f>
        <v/>
      </c>
      <c r="J13">
        <f>'2_MechAdd_HighSeverity'!H13</f>
        <v/>
      </c>
      <c r="K13">
        <f>'2_MechAdd_HighSeverity'!I13</f>
        <v/>
      </c>
      <c r="L13">
        <f>'2_MechAdd_LowSeverity'!J13</f>
        <v/>
      </c>
      <c r="M13">
        <f>'2_MechAdd_LowSeverity'!K13</f>
        <v/>
      </c>
      <c r="N13">
        <f>'2_MechAdd_LowSeverity'!L13</f>
        <v/>
      </c>
      <c r="O13">
        <f>'2_MechAdd_LowSeverity'!M13</f>
        <v/>
      </c>
      <c r="P13">
        <f>'2_MechAdd_ModSeverity'!K13</f>
        <v/>
      </c>
      <c r="Q13">
        <f>'2_MechAdd_ModSeverity'!L13</f>
        <v/>
      </c>
      <c r="R13">
        <f>'2_MechAdd_ModSeverity'!M13</f>
        <v/>
      </c>
      <c r="S13">
        <f>'2_MechAdd_HighSeverity'!K13</f>
        <v/>
      </c>
      <c r="T13">
        <f>'2_MechAdd_HighSeverity'!L13</f>
        <v/>
      </c>
      <c r="U13">
        <f>'2_MechAdd_HighSeverity'!M13</f>
        <v/>
      </c>
      <c r="V13">
        <f>'2_MechAdd_LowSeverity'!N13</f>
        <v/>
      </c>
      <c r="W13">
        <f>'2_MechAdd_LowSeverity'!O13</f>
        <v/>
      </c>
      <c r="X13">
        <f>'2_MechAdd_LowSeverity'!P13</f>
        <v/>
      </c>
      <c r="Y13">
        <f>'2_MechAdd_LowSeverity'!Q13</f>
        <v/>
      </c>
      <c r="Z13">
        <f>'2_MechAdd_ModSeverity'!O13</f>
        <v/>
      </c>
      <c r="AA13">
        <f>'2_MechAdd_ModSeverity'!P13</f>
        <v/>
      </c>
      <c r="AB13">
        <f>'2_MechAdd_ModSeverity'!Q13</f>
        <v/>
      </c>
      <c r="AC13">
        <f>'2_MechAdd_HighSeverity'!O13</f>
        <v/>
      </c>
      <c r="AD13">
        <f>'2_MechAdd_HighSeverity'!P13</f>
        <v/>
      </c>
      <c r="AE13">
        <f>'2_MechAdd_HighSeverity'!Q13</f>
        <v/>
      </c>
      <c r="AF13">
        <f>'2_MechAdd_LowSeverity'!R13</f>
        <v/>
      </c>
      <c r="AG13">
        <f>'2_MechAdd_LowSeverity'!S13</f>
        <v/>
      </c>
      <c r="AH13">
        <f>'2_MechAdd_LowSeverity'!T13</f>
        <v/>
      </c>
      <c r="AI13">
        <f>'2_MechAdd_LowSeverity'!U13</f>
        <v/>
      </c>
      <c r="AJ13">
        <f>'2_MechAdd_ModSeverity'!S13</f>
        <v/>
      </c>
      <c r="AK13">
        <f>'2_MechAdd_ModSeverity'!T13</f>
        <v/>
      </c>
      <c r="AL13">
        <f>'2_MechAdd_ModSeverity'!U13</f>
        <v/>
      </c>
      <c r="AM13">
        <f>'2_MechAdd_HighSeverity'!S13</f>
        <v/>
      </c>
      <c r="AN13">
        <f>'2_MechAdd_HighSeverity'!T13</f>
        <v/>
      </c>
      <c r="AO13">
        <f>'2_MechAdd_HighSeverity'!U13</f>
        <v/>
      </c>
      <c r="AP13">
        <f>'2_MechAdd_LowSeverity'!V13</f>
        <v/>
      </c>
      <c r="AQ13">
        <f>'2_MechAdd_LowSeverity'!W13</f>
        <v/>
      </c>
      <c r="AR13">
        <f>'2_MechAdd_LowSeverity'!X13</f>
        <v/>
      </c>
      <c r="AS13">
        <f>'2_MechAdd_LowSeverity'!Y13</f>
        <v/>
      </c>
      <c r="AT13">
        <f>'2_MechAdd_ModSeverity'!W13</f>
        <v/>
      </c>
      <c r="AU13">
        <f>'2_MechAdd_ModSeverity'!X13</f>
        <v/>
      </c>
      <c r="AV13">
        <f>'2_MechAdd_ModSeverity'!Y13</f>
        <v/>
      </c>
      <c r="AW13">
        <f>'2_MechAdd_HighSeverity'!W13</f>
        <v/>
      </c>
      <c r="AX13">
        <f>'2_MechAdd_HighSeverity'!X13</f>
        <v/>
      </c>
      <c r="AY13">
        <f>'2_MechAdd_HighSeverity'!Y13</f>
        <v/>
      </c>
      <c r="AZ13">
        <f>'2_MechAdd_LowSeverity'!Z13</f>
        <v/>
      </c>
      <c r="BA13">
        <f>'2_MechAdd_LowSeverity'!AA13</f>
        <v/>
      </c>
      <c r="BB13">
        <f>'2_MechAdd_LowSeverity'!AB13</f>
        <v/>
      </c>
      <c r="BC13">
        <f>'2_MechAdd_LowSeverity'!AC13</f>
        <v/>
      </c>
      <c r="BD13">
        <f>'2_MechAdd_ModSeverity'!AA13</f>
        <v/>
      </c>
      <c r="BE13">
        <f>'2_MechAdd_ModSeverity'!AB13</f>
        <v/>
      </c>
      <c r="BF13">
        <f>'2_MechAdd_ModSeverity'!AC13</f>
        <v/>
      </c>
      <c r="BG13">
        <f>'2_MechAdd_HighSeverity'!AA13</f>
        <v/>
      </c>
      <c r="BH13">
        <f>'2_MechAdd_HighSeverity'!AB13</f>
        <v/>
      </c>
      <c r="BI13">
        <f>'2_MechAdd_HighSeverity'!AC13</f>
        <v/>
      </c>
    </row>
    <row r="14">
      <c r="A14" s="34">
        <f>'2_MechAdd_Script'!A14</f>
        <v/>
      </c>
      <c r="B14">
        <f>'2_MechAdd_LowSeverity'!F14</f>
        <v/>
      </c>
      <c r="C14">
        <f>'2_MechAdd_LowSeverity'!G14</f>
        <v/>
      </c>
      <c r="D14">
        <f>'2_MechAdd_LowSeverity'!H14</f>
        <v/>
      </c>
      <c r="E14">
        <f>'2_MechAdd_LowSeverity'!I14</f>
        <v/>
      </c>
      <c r="F14">
        <f>'2_MechAdd_ModSeverity'!G14</f>
        <v/>
      </c>
      <c r="G14">
        <f>'2_MechAdd_ModSeverity'!H14</f>
        <v/>
      </c>
      <c r="H14">
        <f>'2_MechAdd_ModSeverity'!I14</f>
        <v/>
      </c>
      <c r="I14">
        <f>'2_MechAdd_HighSeverity'!G14</f>
        <v/>
      </c>
      <c r="J14">
        <f>'2_MechAdd_HighSeverity'!H14</f>
        <v/>
      </c>
      <c r="K14">
        <f>'2_MechAdd_HighSeverity'!I14</f>
        <v/>
      </c>
      <c r="L14">
        <f>'2_MechAdd_LowSeverity'!J14</f>
        <v/>
      </c>
      <c r="M14">
        <f>'2_MechAdd_LowSeverity'!K14</f>
        <v/>
      </c>
      <c r="N14">
        <f>'2_MechAdd_LowSeverity'!L14</f>
        <v/>
      </c>
      <c r="O14">
        <f>'2_MechAdd_LowSeverity'!M14</f>
        <v/>
      </c>
      <c r="P14">
        <f>'2_MechAdd_ModSeverity'!K14</f>
        <v/>
      </c>
      <c r="Q14">
        <f>'2_MechAdd_ModSeverity'!L14</f>
        <v/>
      </c>
      <c r="R14">
        <f>'2_MechAdd_ModSeverity'!M14</f>
        <v/>
      </c>
      <c r="S14">
        <f>'2_MechAdd_HighSeverity'!K14</f>
        <v/>
      </c>
      <c r="T14">
        <f>'2_MechAdd_HighSeverity'!L14</f>
        <v/>
      </c>
      <c r="U14">
        <f>'2_MechAdd_HighSeverity'!M14</f>
        <v/>
      </c>
      <c r="V14">
        <f>'2_MechAdd_LowSeverity'!N14</f>
        <v/>
      </c>
      <c r="W14">
        <f>'2_MechAdd_LowSeverity'!O14</f>
        <v/>
      </c>
      <c r="X14">
        <f>'2_MechAdd_LowSeverity'!P14</f>
        <v/>
      </c>
      <c r="Y14">
        <f>'2_MechAdd_LowSeverity'!Q14</f>
        <v/>
      </c>
      <c r="Z14">
        <f>'2_MechAdd_ModSeverity'!O14</f>
        <v/>
      </c>
      <c r="AA14">
        <f>'2_MechAdd_ModSeverity'!P14</f>
        <v/>
      </c>
      <c r="AB14">
        <f>'2_MechAdd_ModSeverity'!Q14</f>
        <v/>
      </c>
      <c r="AC14">
        <f>'2_MechAdd_HighSeverity'!O14</f>
        <v/>
      </c>
      <c r="AD14">
        <f>'2_MechAdd_HighSeverity'!P14</f>
        <v/>
      </c>
      <c r="AE14">
        <f>'2_MechAdd_HighSeverity'!Q14</f>
        <v/>
      </c>
      <c r="AF14">
        <f>'2_MechAdd_LowSeverity'!R14</f>
        <v/>
      </c>
      <c r="AG14">
        <f>'2_MechAdd_LowSeverity'!S14</f>
        <v/>
      </c>
      <c r="AH14">
        <f>'2_MechAdd_LowSeverity'!T14</f>
        <v/>
      </c>
      <c r="AI14">
        <f>'2_MechAdd_LowSeverity'!U14</f>
        <v/>
      </c>
      <c r="AJ14">
        <f>'2_MechAdd_ModSeverity'!S14</f>
        <v/>
      </c>
      <c r="AK14">
        <f>'2_MechAdd_ModSeverity'!T14</f>
        <v/>
      </c>
      <c r="AL14">
        <f>'2_MechAdd_ModSeverity'!U14</f>
        <v/>
      </c>
      <c r="AM14">
        <f>'2_MechAdd_HighSeverity'!S14</f>
        <v/>
      </c>
      <c r="AN14">
        <f>'2_MechAdd_HighSeverity'!T14</f>
        <v/>
      </c>
      <c r="AO14">
        <f>'2_MechAdd_HighSeverity'!U14</f>
        <v/>
      </c>
      <c r="AP14">
        <f>'2_MechAdd_LowSeverity'!V14</f>
        <v/>
      </c>
      <c r="AQ14">
        <f>'2_MechAdd_LowSeverity'!W14</f>
        <v/>
      </c>
      <c r="AR14">
        <f>'2_MechAdd_LowSeverity'!X14</f>
        <v/>
      </c>
      <c r="AS14">
        <f>'2_MechAdd_LowSeverity'!Y14</f>
        <v/>
      </c>
      <c r="AT14">
        <f>'2_MechAdd_ModSeverity'!W14</f>
        <v/>
      </c>
      <c r="AU14">
        <f>'2_MechAdd_ModSeverity'!X14</f>
        <v/>
      </c>
      <c r="AV14">
        <f>'2_MechAdd_ModSeverity'!Y14</f>
        <v/>
      </c>
      <c r="AW14">
        <f>'2_MechAdd_HighSeverity'!W14</f>
        <v/>
      </c>
      <c r="AX14">
        <f>'2_MechAdd_HighSeverity'!X14</f>
        <v/>
      </c>
      <c r="AY14">
        <f>'2_MechAdd_HighSeverity'!Y14</f>
        <v/>
      </c>
      <c r="AZ14">
        <f>'2_MechAdd_LowSeverity'!Z14</f>
        <v/>
      </c>
      <c r="BA14">
        <f>'2_MechAdd_LowSeverity'!AA14</f>
        <v/>
      </c>
      <c r="BB14">
        <f>'2_MechAdd_LowSeverity'!AB14</f>
        <v/>
      </c>
      <c r="BC14">
        <f>'2_MechAdd_LowSeverity'!AC14</f>
        <v/>
      </c>
      <c r="BD14">
        <f>'2_MechAdd_ModSeverity'!AA14</f>
        <v/>
      </c>
      <c r="BE14">
        <f>'2_MechAdd_ModSeverity'!AB14</f>
        <v/>
      </c>
      <c r="BF14">
        <f>'2_MechAdd_ModSeverity'!AC14</f>
        <v/>
      </c>
      <c r="BG14">
        <f>'2_MechAdd_HighSeverity'!AA14</f>
        <v/>
      </c>
      <c r="BH14">
        <f>'2_MechAdd_HighSeverity'!AB14</f>
        <v/>
      </c>
      <c r="BI14">
        <f>'2_MechAdd_HighSeverity'!AC14</f>
        <v/>
      </c>
    </row>
    <row r="15">
      <c r="A15" s="34">
        <f>'2_MechAdd_Script'!A15</f>
        <v/>
      </c>
      <c r="B15">
        <f>'2_MechAdd_LowSeverity'!F15</f>
        <v/>
      </c>
      <c r="C15">
        <f>'2_MechAdd_LowSeverity'!G15</f>
        <v/>
      </c>
      <c r="D15">
        <f>'2_MechAdd_LowSeverity'!H15</f>
        <v/>
      </c>
      <c r="E15">
        <f>'2_MechAdd_LowSeverity'!I15</f>
        <v/>
      </c>
      <c r="F15">
        <f>'2_MechAdd_ModSeverity'!G15</f>
        <v/>
      </c>
      <c r="G15">
        <f>'2_MechAdd_ModSeverity'!H15</f>
        <v/>
      </c>
      <c r="H15">
        <f>'2_MechAdd_ModSeverity'!I15</f>
        <v/>
      </c>
      <c r="I15">
        <f>'2_MechAdd_HighSeverity'!G15</f>
        <v/>
      </c>
      <c r="J15">
        <f>'2_MechAdd_HighSeverity'!H15</f>
        <v/>
      </c>
      <c r="K15">
        <f>'2_MechAdd_HighSeverity'!I15</f>
        <v/>
      </c>
      <c r="L15">
        <f>'2_MechAdd_LowSeverity'!J15</f>
        <v/>
      </c>
      <c r="M15">
        <f>'2_MechAdd_LowSeverity'!K15</f>
        <v/>
      </c>
      <c r="N15">
        <f>'2_MechAdd_LowSeverity'!L15</f>
        <v/>
      </c>
      <c r="O15">
        <f>'2_MechAdd_LowSeverity'!M15</f>
        <v/>
      </c>
      <c r="P15">
        <f>'2_MechAdd_ModSeverity'!K15</f>
        <v/>
      </c>
      <c r="Q15">
        <f>'2_MechAdd_ModSeverity'!L15</f>
        <v/>
      </c>
      <c r="R15">
        <f>'2_MechAdd_ModSeverity'!M15</f>
        <v/>
      </c>
      <c r="S15">
        <f>'2_MechAdd_HighSeverity'!K15</f>
        <v/>
      </c>
      <c r="T15">
        <f>'2_MechAdd_HighSeverity'!L15</f>
        <v/>
      </c>
      <c r="U15">
        <f>'2_MechAdd_HighSeverity'!M15</f>
        <v/>
      </c>
      <c r="V15">
        <f>'2_MechAdd_LowSeverity'!N15</f>
        <v/>
      </c>
      <c r="W15">
        <f>'2_MechAdd_LowSeverity'!O15</f>
        <v/>
      </c>
      <c r="X15">
        <f>'2_MechAdd_LowSeverity'!P15</f>
        <v/>
      </c>
      <c r="Y15">
        <f>'2_MechAdd_LowSeverity'!Q15</f>
        <v/>
      </c>
      <c r="Z15">
        <f>'2_MechAdd_ModSeverity'!O15</f>
        <v/>
      </c>
      <c r="AA15">
        <f>'2_MechAdd_ModSeverity'!P15</f>
        <v/>
      </c>
      <c r="AB15">
        <f>'2_MechAdd_ModSeverity'!Q15</f>
        <v/>
      </c>
      <c r="AC15">
        <f>'2_MechAdd_HighSeverity'!O15</f>
        <v/>
      </c>
      <c r="AD15">
        <f>'2_MechAdd_HighSeverity'!P15</f>
        <v/>
      </c>
      <c r="AE15">
        <f>'2_MechAdd_HighSeverity'!Q15</f>
        <v/>
      </c>
      <c r="AF15">
        <f>'2_MechAdd_LowSeverity'!R15</f>
        <v/>
      </c>
      <c r="AG15">
        <f>'2_MechAdd_LowSeverity'!S15</f>
        <v/>
      </c>
      <c r="AH15">
        <f>'2_MechAdd_LowSeverity'!T15</f>
        <v/>
      </c>
      <c r="AI15">
        <f>'2_MechAdd_LowSeverity'!U15</f>
        <v/>
      </c>
      <c r="AJ15">
        <f>'2_MechAdd_ModSeverity'!S15</f>
        <v/>
      </c>
      <c r="AK15">
        <f>'2_MechAdd_ModSeverity'!T15</f>
        <v/>
      </c>
      <c r="AL15">
        <f>'2_MechAdd_ModSeverity'!U15</f>
        <v/>
      </c>
      <c r="AM15">
        <f>'2_MechAdd_HighSeverity'!S15</f>
        <v/>
      </c>
      <c r="AN15">
        <f>'2_MechAdd_HighSeverity'!T15</f>
        <v/>
      </c>
      <c r="AO15">
        <f>'2_MechAdd_HighSeverity'!U15</f>
        <v/>
      </c>
      <c r="AP15">
        <f>'2_MechAdd_LowSeverity'!V15</f>
        <v/>
      </c>
      <c r="AQ15">
        <f>'2_MechAdd_LowSeverity'!W15</f>
        <v/>
      </c>
      <c r="AR15">
        <f>'2_MechAdd_LowSeverity'!X15</f>
        <v/>
      </c>
      <c r="AS15">
        <f>'2_MechAdd_LowSeverity'!Y15</f>
        <v/>
      </c>
      <c r="AT15">
        <f>'2_MechAdd_ModSeverity'!W15</f>
        <v/>
      </c>
      <c r="AU15">
        <f>'2_MechAdd_ModSeverity'!X15</f>
        <v/>
      </c>
      <c r="AV15">
        <f>'2_MechAdd_ModSeverity'!Y15</f>
        <v/>
      </c>
      <c r="AW15">
        <f>'2_MechAdd_HighSeverity'!W15</f>
        <v/>
      </c>
      <c r="AX15">
        <f>'2_MechAdd_HighSeverity'!X15</f>
        <v/>
      </c>
      <c r="AY15">
        <f>'2_MechAdd_HighSeverity'!Y15</f>
        <v/>
      </c>
      <c r="AZ15">
        <f>'2_MechAdd_LowSeverity'!Z15</f>
        <v/>
      </c>
      <c r="BA15">
        <f>'2_MechAdd_LowSeverity'!AA15</f>
        <v/>
      </c>
      <c r="BB15">
        <f>'2_MechAdd_LowSeverity'!AB15</f>
        <v/>
      </c>
      <c r="BC15">
        <f>'2_MechAdd_LowSeverity'!AC15</f>
        <v/>
      </c>
      <c r="BD15">
        <f>'2_MechAdd_ModSeverity'!AA15</f>
        <v/>
      </c>
      <c r="BE15">
        <f>'2_MechAdd_ModSeverity'!AB15</f>
        <v/>
      </c>
      <c r="BF15">
        <f>'2_MechAdd_ModSeverity'!AC15</f>
        <v/>
      </c>
      <c r="BG15">
        <f>'2_MechAdd_HighSeverity'!AA15</f>
        <v/>
      </c>
      <c r="BH15">
        <f>'2_MechAdd_HighSeverity'!AB15</f>
        <v/>
      </c>
      <c r="BI15">
        <f>'2_MechAdd_HighSeverity'!AC15</f>
        <v/>
      </c>
    </row>
    <row r="16">
      <c r="A16" s="34">
        <f>'2_MechAdd_Script'!A16</f>
        <v/>
      </c>
      <c r="B16">
        <f>'2_MechAdd_LowSeverity'!F16</f>
        <v/>
      </c>
      <c r="C16">
        <f>'2_MechAdd_LowSeverity'!G16</f>
        <v/>
      </c>
      <c r="D16">
        <f>'2_MechAdd_LowSeverity'!H16</f>
        <v/>
      </c>
      <c r="E16">
        <f>'2_MechAdd_LowSeverity'!I16</f>
        <v/>
      </c>
      <c r="F16">
        <f>'2_MechAdd_ModSeverity'!G16</f>
        <v/>
      </c>
      <c r="G16">
        <f>'2_MechAdd_ModSeverity'!H16</f>
        <v/>
      </c>
      <c r="H16">
        <f>'2_MechAdd_ModSeverity'!I16</f>
        <v/>
      </c>
      <c r="I16">
        <f>'2_MechAdd_HighSeverity'!G16</f>
        <v/>
      </c>
      <c r="J16">
        <f>'2_MechAdd_HighSeverity'!H16</f>
        <v/>
      </c>
      <c r="K16">
        <f>'2_MechAdd_HighSeverity'!I16</f>
        <v/>
      </c>
      <c r="L16">
        <f>'2_MechAdd_LowSeverity'!J16</f>
        <v/>
      </c>
      <c r="M16">
        <f>'2_MechAdd_LowSeverity'!K16</f>
        <v/>
      </c>
      <c r="N16">
        <f>'2_MechAdd_LowSeverity'!L16</f>
        <v/>
      </c>
      <c r="O16">
        <f>'2_MechAdd_LowSeverity'!M16</f>
        <v/>
      </c>
      <c r="P16">
        <f>'2_MechAdd_ModSeverity'!K16</f>
        <v/>
      </c>
      <c r="Q16">
        <f>'2_MechAdd_ModSeverity'!L16</f>
        <v/>
      </c>
      <c r="R16">
        <f>'2_MechAdd_ModSeverity'!M16</f>
        <v/>
      </c>
      <c r="S16">
        <f>'2_MechAdd_HighSeverity'!K16</f>
        <v/>
      </c>
      <c r="T16">
        <f>'2_MechAdd_HighSeverity'!L16</f>
        <v/>
      </c>
      <c r="U16">
        <f>'2_MechAdd_HighSeverity'!M16</f>
        <v/>
      </c>
      <c r="V16">
        <f>'2_MechAdd_LowSeverity'!N16</f>
        <v/>
      </c>
      <c r="W16">
        <f>'2_MechAdd_LowSeverity'!O16</f>
        <v/>
      </c>
      <c r="X16">
        <f>'2_MechAdd_LowSeverity'!P16</f>
        <v/>
      </c>
      <c r="Y16">
        <f>'2_MechAdd_LowSeverity'!Q16</f>
        <v/>
      </c>
      <c r="Z16">
        <f>'2_MechAdd_ModSeverity'!O16</f>
        <v/>
      </c>
      <c r="AA16">
        <f>'2_MechAdd_ModSeverity'!P16</f>
        <v/>
      </c>
      <c r="AB16">
        <f>'2_MechAdd_ModSeverity'!Q16</f>
        <v/>
      </c>
      <c r="AC16">
        <f>'2_MechAdd_HighSeverity'!O16</f>
        <v/>
      </c>
      <c r="AD16">
        <f>'2_MechAdd_HighSeverity'!P16</f>
        <v/>
      </c>
      <c r="AE16">
        <f>'2_MechAdd_HighSeverity'!Q16</f>
        <v/>
      </c>
      <c r="AF16">
        <f>'2_MechAdd_LowSeverity'!R16</f>
        <v/>
      </c>
      <c r="AG16">
        <f>'2_MechAdd_LowSeverity'!S16</f>
        <v/>
      </c>
      <c r="AH16">
        <f>'2_MechAdd_LowSeverity'!T16</f>
        <v/>
      </c>
      <c r="AI16">
        <f>'2_MechAdd_LowSeverity'!U16</f>
        <v/>
      </c>
      <c r="AJ16">
        <f>'2_MechAdd_ModSeverity'!S16</f>
        <v/>
      </c>
      <c r="AK16">
        <f>'2_MechAdd_ModSeverity'!T16</f>
        <v/>
      </c>
      <c r="AL16">
        <f>'2_MechAdd_ModSeverity'!U16</f>
        <v/>
      </c>
      <c r="AM16">
        <f>'2_MechAdd_HighSeverity'!S16</f>
        <v/>
      </c>
      <c r="AN16">
        <f>'2_MechAdd_HighSeverity'!T16</f>
        <v/>
      </c>
      <c r="AO16">
        <f>'2_MechAdd_HighSeverity'!U16</f>
        <v/>
      </c>
      <c r="AP16">
        <f>'2_MechAdd_LowSeverity'!V16</f>
        <v/>
      </c>
      <c r="AQ16">
        <f>'2_MechAdd_LowSeverity'!W16</f>
        <v/>
      </c>
      <c r="AR16">
        <f>'2_MechAdd_LowSeverity'!X16</f>
        <v/>
      </c>
      <c r="AS16">
        <f>'2_MechAdd_LowSeverity'!Y16</f>
        <v/>
      </c>
      <c r="AT16">
        <f>'2_MechAdd_ModSeverity'!W16</f>
        <v/>
      </c>
      <c r="AU16">
        <f>'2_MechAdd_ModSeverity'!X16</f>
        <v/>
      </c>
      <c r="AV16">
        <f>'2_MechAdd_ModSeverity'!Y16</f>
        <v/>
      </c>
      <c r="AW16">
        <f>'2_MechAdd_HighSeverity'!W16</f>
        <v/>
      </c>
      <c r="AX16">
        <f>'2_MechAdd_HighSeverity'!X16</f>
        <v/>
      </c>
      <c r="AY16">
        <f>'2_MechAdd_HighSeverity'!Y16</f>
        <v/>
      </c>
      <c r="AZ16">
        <f>'2_MechAdd_LowSeverity'!Z16</f>
        <v/>
      </c>
      <c r="BA16">
        <f>'2_MechAdd_LowSeverity'!AA16</f>
        <v/>
      </c>
      <c r="BB16">
        <f>'2_MechAdd_LowSeverity'!AB16</f>
        <v/>
      </c>
      <c r="BC16">
        <f>'2_MechAdd_LowSeverity'!AC16</f>
        <v/>
      </c>
      <c r="BD16">
        <f>'2_MechAdd_ModSeverity'!AA16</f>
        <v/>
      </c>
      <c r="BE16">
        <f>'2_MechAdd_ModSeverity'!AB16</f>
        <v/>
      </c>
      <c r="BF16">
        <f>'2_MechAdd_ModSeverity'!AC16</f>
        <v/>
      </c>
      <c r="BG16">
        <f>'2_MechAdd_HighSeverity'!AA16</f>
        <v/>
      </c>
      <c r="BH16">
        <f>'2_MechAdd_HighSeverity'!AB16</f>
        <v/>
      </c>
      <c r="BI16">
        <f>'2_MechAdd_HighSeverity'!AC16</f>
        <v/>
      </c>
    </row>
    <row r="17">
      <c r="A17" s="34">
        <f>'2_MechAdd_Script'!A17</f>
        <v/>
      </c>
      <c r="B17">
        <f>'2_MechAdd_LowSeverity'!F17</f>
        <v/>
      </c>
      <c r="C17">
        <f>'2_MechAdd_LowSeverity'!G17</f>
        <v/>
      </c>
      <c r="D17">
        <f>'2_MechAdd_LowSeverity'!H17</f>
        <v/>
      </c>
      <c r="E17">
        <f>'2_MechAdd_LowSeverity'!I17</f>
        <v/>
      </c>
      <c r="F17">
        <f>'2_MechAdd_ModSeverity'!G17</f>
        <v/>
      </c>
      <c r="G17">
        <f>'2_MechAdd_ModSeverity'!H17</f>
        <v/>
      </c>
      <c r="H17">
        <f>'2_MechAdd_ModSeverity'!I17</f>
        <v/>
      </c>
      <c r="I17">
        <f>'2_MechAdd_HighSeverity'!G17</f>
        <v/>
      </c>
      <c r="J17">
        <f>'2_MechAdd_HighSeverity'!H17</f>
        <v/>
      </c>
      <c r="K17">
        <f>'2_MechAdd_HighSeverity'!I17</f>
        <v/>
      </c>
      <c r="L17">
        <f>'2_MechAdd_LowSeverity'!J17</f>
        <v/>
      </c>
      <c r="M17">
        <f>'2_MechAdd_LowSeverity'!K17</f>
        <v/>
      </c>
      <c r="N17">
        <f>'2_MechAdd_LowSeverity'!L17</f>
        <v/>
      </c>
      <c r="O17">
        <f>'2_MechAdd_LowSeverity'!M17</f>
        <v/>
      </c>
      <c r="P17">
        <f>'2_MechAdd_ModSeverity'!K17</f>
        <v/>
      </c>
      <c r="Q17">
        <f>'2_MechAdd_ModSeverity'!L17</f>
        <v/>
      </c>
      <c r="R17">
        <f>'2_MechAdd_ModSeverity'!M17</f>
        <v/>
      </c>
      <c r="S17">
        <f>'2_MechAdd_HighSeverity'!K17</f>
        <v/>
      </c>
      <c r="T17">
        <f>'2_MechAdd_HighSeverity'!L17</f>
        <v/>
      </c>
      <c r="U17">
        <f>'2_MechAdd_HighSeverity'!M17</f>
        <v/>
      </c>
      <c r="V17">
        <f>'2_MechAdd_LowSeverity'!N17</f>
        <v/>
      </c>
      <c r="W17">
        <f>'2_MechAdd_LowSeverity'!O17</f>
        <v/>
      </c>
      <c r="X17">
        <f>'2_MechAdd_LowSeverity'!P17</f>
        <v/>
      </c>
      <c r="Y17">
        <f>'2_MechAdd_LowSeverity'!Q17</f>
        <v/>
      </c>
      <c r="Z17">
        <f>'2_MechAdd_ModSeverity'!O17</f>
        <v/>
      </c>
      <c r="AA17">
        <f>'2_MechAdd_ModSeverity'!P17</f>
        <v/>
      </c>
      <c r="AB17">
        <f>'2_MechAdd_ModSeverity'!Q17</f>
        <v/>
      </c>
      <c r="AC17">
        <f>'2_MechAdd_HighSeverity'!O17</f>
        <v/>
      </c>
      <c r="AD17">
        <f>'2_MechAdd_HighSeverity'!P17</f>
        <v/>
      </c>
      <c r="AE17">
        <f>'2_MechAdd_HighSeverity'!Q17</f>
        <v/>
      </c>
      <c r="AF17">
        <f>'2_MechAdd_LowSeverity'!R17</f>
        <v/>
      </c>
      <c r="AG17">
        <f>'2_MechAdd_LowSeverity'!S17</f>
        <v/>
      </c>
      <c r="AH17">
        <f>'2_MechAdd_LowSeverity'!T17</f>
        <v/>
      </c>
      <c r="AI17">
        <f>'2_MechAdd_LowSeverity'!U17</f>
        <v/>
      </c>
      <c r="AJ17">
        <f>'2_MechAdd_ModSeverity'!S17</f>
        <v/>
      </c>
      <c r="AK17">
        <f>'2_MechAdd_ModSeverity'!T17</f>
        <v/>
      </c>
      <c r="AL17">
        <f>'2_MechAdd_ModSeverity'!U17</f>
        <v/>
      </c>
      <c r="AM17">
        <f>'2_MechAdd_HighSeverity'!S17</f>
        <v/>
      </c>
      <c r="AN17">
        <f>'2_MechAdd_HighSeverity'!T17</f>
        <v/>
      </c>
      <c r="AO17">
        <f>'2_MechAdd_HighSeverity'!U17</f>
        <v/>
      </c>
      <c r="AP17">
        <f>'2_MechAdd_LowSeverity'!V17</f>
        <v/>
      </c>
      <c r="AQ17">
        <f>'2_MechAdd_LowSeverity'!W17</f>
        <v/>
      </c>
      <c r="AR17">
        <f>'2_MechAdd_LowSeverity'!X17</f>
        <v/>
      </c>
      <c r="AS17">
        <f>'2_MechAdd_LowSeverity'!Y17</f>
        <v/>
      </c>
      <c r="AT17">
        <f>'2_MechAdd_ModSeverity'!W17</f>
        <v/>
      </c>
      <c r="AU17">
        <f>'2_MechAdd_ModSeverity'!X17</f>
        <v/>
      </c>
      <c r="AV17">
        <f>'2_MechAdd_ModSeverity'!Y17</f>
        <v/>
      </c>
      <c r="AW17">
        <f>'2_MechAdd_HighSeverity'!W17</f>
        <v/>
      </c>
      <c r="AX17">
        <f>'2_MechAdd_HighSeverity'!X17</f>
        <v/>
      </c>
      <c r="AY17">
        <f>'2_MechAdd_HighSeverity'!Y17</f>
        <v/>
      </c>
      <c r="AZ17">
        <f>'2_MechAdd_LowSeverity'!Z17</f>
        <v/>
      </c>
      <c r="BA17">
        <f>'2_MechAdd_LowSeverity'!AA17</f>
        <v/>
      </c>
      <c r="BB17">
        <f>'2_MechAdd_LowSeverity'!AB17</f>
        <v/>
      </c>
      <c r="BC17">
        <f>'2_MechAdd_LowSeverity'!AC17</f>
        <v/>
      </c>
      <c r="BD17">
        <f>'2_MechAdd_ModSeverity'!AA17</f>
        <v/>
      </c>
      <c r="BE17">
        <f>'2_MechAdd_ModSeverity'!AB17</f>
        <v/>
      </c>
      <c r="BF17">
        <f>'2_MechAdd_ModSeverity'!AC17</f>
        <v/>
      </c>
      <c r="BG17">
        <f>'2_MechAdd_HighSeverity'!AA17</f>
        <v/>
      </c>
      <c r="BH17">
        <f>'2_MechAdd_HighSeverity'!AB17</f>
        <v/>
      </c>
      <c r="BI17">
        <f>'2_MechAdd_HighSeverity'!AC17</f>
        <v/>
      </c>
    </row>
    <row r="18">
      <c r="A18" s="34">
        <f>'2_MechAdd_Script'!A18</f>
        <v/>
      </c>
      <c r="B18">
        <f>'2_MechAdd_LowSeverity'!F18</f>
        <v/>
      </c>
      <c r="C18">
        <f>'2_MechAdd_LowSeverity'!G18</f>
        <v/>
      </c>
      <c r="D18">
        <f>'2_MechAdd_LowSeverity'!H18</f>
        <v/>
      </c>
      <c r="E18">
        <f>'2_MechAdd_LowSeverity'!I18</f>
        <v/>
      </c>
      <c r="F18">
        <f>'2_MechAdd_ModSeverity'!G18</f>
        <v/>
      </c>
      <c r="G18">
        <f>'2_MechAdd_ModSeverity'!H18</f>
        <v/>
      </c>
      <c r="H18">
        <f>'2_MechAdd_ModSeverity'!I18</f>
        <v/>
      </c>
      <c r="I18">
        <f>'2_MechAdd_HighSeverity'!G18</f>
        <v/>
      </c>
      <c r="J18">
        <f>'2_MechAdd_HighSeverity'!H18</f>
        <v/>
      </c>
      <c r="K18">
        <f>'2_MechAdd_HighSeverity'!I18</f>
        <v/>
      </c>
      <c r="L18">
        <f>'2_MechAdd_LowSeverity'!J18</f>
        <v/>
      </c>
      <c r="M18">
        <f>'2_MechAdd_LowSeverity'!K18</f>
        <v/>
      </c>
      <c r="N18">
        <f>'2_MechAdd_LowSeverity'!L18</f>
        <v/>
      </c>
      <c r="O18">
        <f>'2_MechAdd_LowSeverity'!M18</f>
        <v/>
      </c>
      <c r="P18">
        <f>'2_MechAdd_ModSeverity'!K18</f>
        <v/>
      </c>
      <c r="Q18">
        <f>'2_MechAdd_ModSeverity'!L18</f>
        <v/>
      </c>
      <c r="R18">
        <f>'2_MechAdd_ModSeverity'!M18</f>
        <v/>
      </c>
      <c r="S18">
        <f>'2_MechAdd_HighSeverity'!K18</f>
        <v/>
      </c>
      <c r="T18">
        <f>'2_MechAdd_HighSeverity'!L18</f>
        <v/>
      </c>
      <c r="U18">
        <f>'2_MechAdd_HighSeverity'!M18</f>
        <v/>
      </c>
      <c r="V18">
        <f>'2_MechAdd_LowSeverity'!N18</f>
        <v/>
      </c>
      <c r="W18">
        <f>'2_MechAdd_LowSeverity'!O18</f>
        <v/>
      </c>
      <c r="X18">
        <f>'2_MechAdd_LowSeverity'!P18</f>
        <v/>
      </c>
      <c r="Y18">
        <f>'2_MechAdd_LowSeverity'!Q18</f>
        <v/>
      </c>
      <c r="Z18">
        <f>'2_MechAdd_ModSeverity'!O18</f>
        <v/>
      </c>
      <c r="AA18">
        <f>'2_MechAdd_ModSeverity'!P18</f>
        <v/>
      </c>
      <c r="AB18">
        <f>'2_MechAdd_ModSeverity'!Q18</f>
        <v/>
      </c>
      <c r="AC18">
        <f>'2_MechAdd_HighSeverity'!O18</f>
        <v/>
      </c>
      <c r="AD18">
        <f>'2_MechAdd_HighSeverity'!P18</f>
        <v/>
      </c>
      <c r="AE18">
        <f>'2_MechAdd_HighSeverity'!Q18</f>
        <v/>
      </c>
      <c r="AF18">
        <f>'2_MechAdd_LowSeverity'!R18</f>
        <v/>
      </c>
      <c r="AG18">
        <f>'2_MechAdd_LowSeverity'!S18</f>
        <v/>
      </c>
      <c r="AH18">
        <f>'2_MechAdd_LowSeverity'!T18</f>
        <v/>
      </c>
      <c r="AI18">
        <f>'2_MechAdd_LowSeverity'!U18</f>
        <v/>
      </c>
      <c r="AJ18">
        <f>'2_MechAdd_ModSeverity'!S18</f>
        <v/>
      </c>
      <c r="AK18">
        <f>'2_MechAdd_ModSeverity'!T18</f>
        <v/>
      </c>
      <c r="AL18">
        <f>'2_MechAdd_ModSeverity'!U18</f>
        <v/>
      </c>
      <c r="AM18">
        <f>'2_MechAdd_HighSeverity'!S18</f>
        <v/>
      </c>
      <c r="AN18">
        <f>'2_MechAdd_HighSeverity'!T18</f>
        <v/>
      </c>
      <c r="AO18">
        <f>'2_MechAdd_HighSeverity'!U18</f>
        <v/>
      </c>
      <c r="AP18">
        <f>'2_MechAdd_LowSeverity'!V18</f>
        <v/>
      </c>
      <c r="AQ18">
        <f>'2_MechAdd_LowSeverity'!W18</f>
        <v/>
      </c>
      <c r="AR18">
        <f>'2_MechAdd_LowSeverity'!X18</f>
        <v/>
      </c>
      <c r="AS18">
        <f>'2_MechAdd_LowSeverity'!Y18</f>
        <v/>
      </c>
      <c r="AT18">
        <f>'2_MechAdd_ModSeverity'!W18</f>
        <v/>
      </c>
      <c r="AU18">
        <f>'2_MechAdd_ModSeverity'!X18</f>
        <v/>
      </c>
      <c r="AV18">
        <f>'2_MechAdd_ModSeverity'!Y18</f>
        <v/>
      </c>
      <c r="AW18">
        <f>'2_MechAdd_HighSeverity'!W18</f>
        <v/>
      </c>
      <c r="AX18">
        <f>'2_MechAdd_HighSeverity'!X18</f>
        <v/>
      </c>
      <c r="AY18">
        <f>'2_MechAdd_HighSeverity'!Y18</f>
        <v/>
      </c>
      <c r="AZ18">
        <f>'2_MechAdd_LowSeverity'!Z18</f>
        <v/>
      </c>
      <c r="BA18">
        <f>'2_MechAdd_LowSeverity'!AA18</f>
        <v/>
      </c>
      <c r="BB18">
        <f>'2_MechAdd_LowSeverity'!AB18</f>
        <v/>
      </c>
      <c r="BC18">
        <f>'2_MechAdd_LowSeverity'!AC18</f>
        <v/>
      </c>
      <c r="BD18">
        <f>'2_MechAdd_ModSeverity'!AA18</f>
        <v/>
      </c>
      <c r="BE18">
        <f>'2_MechAdd_ModSeverity'!AB18</f>
        <v/>
      </c>
      <c r="BF18">
        <f>'2_MechAdd_ModSeverity'!AC18</f>
        <v/>
      </c>
      <c r="BG18">
        <f>'2_MechAdd_HighSeverity'!AA18</f>
        <v/>
      </c>
      <c r="BH18">
        <f>'2_MechAdd_HighSeverity'!AB18</f>
        <v/>
      </c>
      <c r="BI18">
        <f>'2_MechAdd_HighSeverity'!AC18</f>
        <v/>
      </c>
    </row>
    <row r="19">
      <c r="A19" s="34">
        <f>'2_MechAdd_Script'!A19</f>
        <v/>
      </c>
      <c r="B19">
        <f>'2_MechAdd_LowSeverity'!F19</f>
        <v/>
      </c>
      <c r="C19">
        <f>'2_MechAdd_LowSeverity'!G19</f>
        <v/>
      </c>
      <c r="D19">
        <f>'2_MechAdd_LowSeverity'!H19</f>
        <v/>
      </c>
      <c r="E19">
        <f>'2_MechAdd_LowSeverity'!I19</f>
        <v/>
      </c>
      <c r="F19">
        <f>'2_MechAdd_ModSeverity'!G19</f>
        <v/>
      </c>
      <c r="G19">
        <f>'2_MechAdd_ModSeverity'!H19</f>
        <v/>
      </c>
      <c r="H19">
        <f>'2_MechAdd_ModSeverity'!I19</f>
        <v/>
      </c>
      <c r="I19">
        <f>'2_MechAdd_HighSeverity'!G19</f>
        <v/>
      </c>
      <c r="J19">
        <f>'2_MechAdd_HighSeverity'!H19</f>
        <v/>
      </c>
      <c r="K19">
        <f>'2_MechAdd_HighSeverity'!I19</f>
        <v/>
      </c>
      <c r="L19">
        <f>'2_MechAdd_LowSeverity'!J19</f>
        <v/>
      </c>
      <c r="M19">
        <f>'2_MechAdd_LowSeverity'!K19</f>
        <v/>
      </c>
      <c r="N19">
        <f>'2_MechAdd_LowSeverity'!L19</f>
        <v/>
      </c>
      <c r="O19">
        <f>'2_MechAdd_LowSeverity'!M19</f>
        <v/>
      </c>
      <c r="P19">
        <f>'2_MechAdd_ModSeverity'!K19</f>
        <v/>
      </c>
      <c r="Q19">
        <f>'2_MechAdd_ModSeverity'!L19</f>
        <v/>
      </c>
      <c r="R19">
        <f>'2_MechAdd_ModSeverity'!M19</f>
        <v/>
      </c>
      <c r="S19">
        <f>'2_MechAdd_HighSeverity'!K19</f>
        <v/>
      </c>
      <c r="T19">
        <f>'2_MechAdd_HighSeverity'!L19</f>
        <v/>
      </c>
      <c r="U19">
        <f>'2_MechAdd_HighSeverity'!M19</f>
        <v/>
      </c>
      <c r="V19">
        <f>'2_MechAdd_LowSeverity'!N19</f>
        <v/>
      </c>
      <c r="W19">
        <f>'2_MechAdd_LowSeverity'!O19</f>
        <v/>
      </c>
      <c r="X19">
        <f>'2_MechAdd_LowSeverity'!P19</f>
        <v/>
      </c>
      <c r="Y19">
        <f>'2_MechAdd_LowSeverity'!Q19</f>
        <v/>
      </c>
      <c r="Z19">
        <f>'2_MechAdd_ModSeverity'!O19</f>
        <v/>
      </c>
      <c r="AA19">
        <f>'2_MechAdd_ModSeverity'!P19</f>
        <v/>
      </c>
      <c r="AB19">
        <f>'2_MechAdd_ModSeverity'!Q19</f>
        <v/>
      </c>
      <c r="AC19">
        <f>'2_MechAdd_HighSeverity'!O19</f>
        <v/>
      </c>
      <c r="AD19">
        <f>'2_MechAdd_HighSeverity'!P19</f>
        <v/>
      </c>
      <c r="AE19">
        <f>'2_MechAdd_HighSeverity'!Q19</f>
        <v/>
      </c>
      <c r="AF19">
        <f>'2_MechAdd_LowSeverity'!R19</f>
        <v/>
      </c>
      <c r="AG19">
        <f>'2_MechAdd_LowSeverity'!S19</f>
        <v/>
      </c>
      <c r="AH19">
        <f>'2_MechAdd_LowSeverity'!T19</f>
        <v/>
      </c>
      <c r="AI19">
        <f>'2_MechAdd_LowSeverity'!U19</f>
        <v/>
      </c>
      <c r="AJ19">
        <f>'2_MechAdd_ModSeverity'!S19</f>
        <v/>
      </c>
      <c r="AK19">
        <f>'2_MechAdd_ModSeverity'!T19</f>
        <v/>
      </c>
      <c r="AL19">
        <f>'2_MechAdd_ModSeverity'!U19</f>
        <v/>
      </c>
      <c r="AM19">
        <f>'2_MechAdd_HighSeverity'!S19</f>
        <v/>
      </c>
      <c r="AN19">
        <f>'2_MechAdd_HighSeverity'!T19</f>
        <v/>
      </c>
      <c r="AO19">
        <f>'2_MechAdd_HighSeverity'!U19</f>
        <v/>
      </c>
      <c r="AP19">
        <f>'2_MechAdd_LowSeverity'!V19</f>
        <v/>
      </c>
      <c r="AQ19">
        <f>'2_MechAdd_LowSeverity'!W19</f>
        <v/>
      </c>
      <c r="AR19">
        <f>'2_MechAdd_LowSeverity'!X19</f>
        <v/>
      </c>
      <c r="AS19">
        <f>'2_MechAdd_LowSeverity'!Y19</f>
        <v/>
      </c>
      <c r="AT19">
        <f>'2_MechAdd_ModSeverity'!W19</f>
        <v/>
      </c>
      <c r="AU19">
        <f>'2_MechAdd_ModSeverity'!X19</f>
        <v/>
      </c>
      <c r="AV19">
        <f>'2_MechAdd_ModSeverity'!Y19</f>
        <v/>
      </c>
      <c r="AW19">
        <f>'2_MechAdd_HighSeverity'!W19</f>
        <v/>
      </c>
      <c r="AX19">
        <f>'2_MechAdd_HighSeverity'!X19</f>
        <v/>
      </c>
      <c r="AY19">
        <f>'2_MechAdd_HighSeverity'!Y19</f>
        <v/>
      </c>
      <c r="AZ19">
        <f>'2_MechAdd_LowSeverity'!Z19</f>
        <v/>
      </c>
      <c r="BA19">
        <f>'2_MechAdd_LowSeverity'!AA19</f>
        <v/>
      </c>
      <c r="BB19">
        <f>'2_MechAdd_LowSeverity'!AB19</f>
        <v/>
      </c>
      <c r="BC19">
        <f>'2_MechAdd_LowSeverity'!AC19</f>
        <v/>
      </c>
      <c r="BD19">
        <f>'2_MechAdd_ModSeverity'!AA19</f>
        <v/>
      </c>
      <c r="BE19">
        <f>'2_MechAdd_ModSeverity'!AB19</f>
        <v/>
      </c>
      <c r="BF19">
        <f>'2_MechAdd_ModSeverity'!AC19</f>
        <v/>
      </c>
      <c r="BG19">
        <f>'2_MechAdd_HighSeverity'!AA19</f>
        <v/>
      </c>
      <c r="BH19">
        <f>'2_MechAdd_HighSeverity'!AB19</f>
        <v/>
      </c>
      <c r="BI19">
        <f>'2_MechAdd_HighSeverity'!AC19</f>
        <v/>
      </c>
    </row>
    <row r="20">
      <c r="A20" s="34">
        <f>'2_MechAdd_Script'!A20</f>
        <v/>
      </c>
      <c r="B20">
        <f>'2_MechAdd_LowSeverity'!F20</f>
        <v/>
      </c>
      <c r="C20">
        <f>'2_MechAdd_LowSeverity'!G20</f>
        <v/>
      </c>
      <c r="D20">
        <f>'2_MechAdd_LowSeverity'!H20</f>
        <v/>
      </c>
      <c r="E20">
        <f>'2_MechAdd_LowSeverity'!I20</f>
        <v/>
      </c>
      <c r="F20">
        <f>'2_MechAdd_ModSeverity'!G20</f>
        <v/>
      </c>
      <c r="G20">
        <f>'2_MechAdd_ModSeverity'!H20</f>
        <v/>
      </c>
      <c r="H20">
        <f>'2_MechAdd_ModSeverity'!I20</f>
        <v/>
      </c>
      <c r="I20">
        <f>'2_MechAdd_HighSeverity'!G20</f>
        <v/>
      </c>
      <c r="J20">
        <f>'2_MechAdd_HighSeverity'!H20</f>
        <v/>
      </c>
      <c r="K20">
        <f>'2_MechAdd_HighSeverity'!I20</f>
        <v/>
      </c>
      <c r="L20">
        <f>'2_MechAdd_LowSeverity'!J20</f>
        <v/>
      </c>
      <c r="M20">
        <f>'2_MechAdd_LowSeverity'!K20</f>
        <v/>
      </c>
      <c r="N20">
        <f>'2_MechAdd_LowSeverity'!L20</f>
        <v/>
      </c>
      <c r="O20">
        <f>'2_MechAdd_LowSeverity'!M20</f>
        <v/>
      </c>
      <c r="P20">
        <f>'2_MechAdd_ModSeverity'!K20</f>
        <v/>
      </c>
      <c r="Q20">
        <f>'2_MechAdd_ModSeverity'!L20</f>
        <v/>
      </c>
      <c r="R20">
        <f>'2_MechAdd_ModSeverity'!M20</f>
        <v/>
      </c>
      <c r="S20">
        <f>'2_MechAdd_HighSeverity'!K20</f>
        <v/>
      </c>
      <c r="T20">
        <f>'2_MechAdd_HighSeverity'!L20</f>
        <v/>
      </c>
      <c r="U20">
        <f>'2_MechAdd_HighSeverity'!M20</f>
        <v/>
      </c>
      <c r="V20">
        <f>'2_MechAdd_LowSeverity'!N20</f>
        <v/>
      </c>
      <c r="W20">
        <f>'2_MechAdd_LowSeverity'!O20</f>
        <v/>
      </c>
      <c r="X20">
        <f>'2_MechAdd_LowSeverity'!P20</f>
        <v/>
      </c>
      <c r="Y20">
        <f>'2_MechAdd_LowSeverity'!Q20</f>
        <v/>
      </c>
      <c r="Z20">
        <f>'2_MechAdd_ModSeverity'!O20</f>
        <v/>
      </c>
      <c r="AA20">
        <f>'2_MechAdd_ModSeverity'!P20</f>
        <v/>
      </c>
      <c r="AB20">
        <f>'2_MechAdd_ModSeverity'!Q20</f>
        <v/>
      </c>
      <c r="AC20">
        <f>'2_MechAdd_HighSeverity'!O20</f>
        <v/>
      </c>
      <c r="AD20">
        <f>'2_MechAdd_HighSeverity'!P20</f>
        <v/>
      </c>
      <c r="AE20">
        <f>'2_MechAdd_HighSeverity'!Q20</f>
        <v/>
      </c>
      <c r="AF20">
        <f>'2_MechAdd_LowSeverity'!R20</f>
        <v/>
      </c>
      <c r="AG20">
        <f>'2_MechAdd_LowSeverity'!S20</f>
        <v/>
      </c>
      <c r="AH20">
        <f>'2_MechAdd_LowSeverity'!T20</f>
        <v/>
      </c>
      <c r="AI20">
        <f>'2_MechAdd_LowSeverity'!U20</f>
        <v/>
      </c>
      <c r="AJ20">
        <f>'2_MechAdd_ModSeverity'!S20</f>
        <v/>
      </c>
      <c r="AK20">
        <f>'2_MechAdd_ModSeverity'!T20</f>
        <v/>
      </c>
      <c r="AL20">
        <f>'2_MechAdd_ModSeverity'!U20</f>
        <v/>
      </c>
      <c r="AM20">
        <f>'2_MechAdd_HighSeverity'!S20</f>
        <v/>
      </c>
      <c r="AN20">
        <f>'2_MechAdd_HighSeverity'!T20</f>
        <v/>
      </c>
      <c r="AO20">
        <f>'2_MechAdd_HighSeverity'!U20</f>
        <v/>
      </c>
      <c r="AP20">
        <f>'2_MechAdd_LowSeverity'!V20</f>
        <v/>
      </c>
      <c r="AQ20">
        <f>'2_MechAdd_LowSeverity'!W20</f>
        <v/>
      </c>
      <c r="AR20">
        <f>'2_MechAdd_LowSeverity'!X20</f>
        <v/>
      </c>
      <c r="AS20">
        <f>'2_MechAdd_LowSeverity'!Y20</f>
        <v/>
      </c>
      <c r="AT20">
        <f>'2_MechAdd_ModSeverity'!W20</f>
        <v/>
      </c>
      <c r="AU20">
        <f>'2_MechAdd_ModSeverity'!X20</f>
        <v/>
      </c>
      <c r="AV20">
        <f>'2_MechAdd_ModSeverity'!Y20</f>
        <v/>
      </c>
      <c r="AW20">
        <f>'2_MechAdd_HighSeverity'!W20</f>
        <v/>
      </c>
      <c r="AX20">
        <f>'2_MechAdd_HighSeverity'!X20</f>
        <v/>
      </c>
      <c r="AY20">
        <f>'2_MechAdd_HighSeverity'!Y20</f>
        <v/>
      </c>
      <c r="AZ20">
        <f>'2_MechAdd_LowSeverity'!Z20</f>
        <v/>
      </c>
      <c r="BA20">
        <f>'2_MechAdd_LowSeverity'!AA20</f>
        <v/>
      </c>
      <c r="BB20">
        <f>'2_MechAdd_LowSeverity'!AB20</f>
        <v/>
      </c>
      <c r="BC20">
        <f>'2_MechAdd_LowSeverity'!AC20</f>
        <v/>
      </c>
      <c r="BD20">
        <f>'2_MechAdd_ModSeverity'!AA20</f>
        <v/>
      </c>
      <c r="BE20">
        <f>'2_MechAdd_ModSeverity'!AB20</f>
        <v/>
      </c>
      <c r="BF20">
        <f>'2_MechAdd_ModSeverity'!AC20</f>
        <v/>
      </c>
      <c r="BG20">
        <f>'2_MechAdd_HighSeverity'!AA20</f>
        <v/>
      </c>
      <c r="BH20">
        <f>'2_MechAdd_HighSeverity'!AB20</f>
        <v/>
      </c>
      <c r="BI20">
        <f>'2_MechAdd_HighSeverity'!AC20</f>
        <v/>
      </c>
    </row>
    <row r="21">
      <c r="A21" s="34">
        <f>'2_MechAdd_Script'!A21</f>
        <v/>
      </c>
      <c r="B21">
        <f>'2_MechAdd_LowSeverity'!F21</f>
        <v/>
      </c>
      <c r="C21">
        <f>'2_MechAdd_LowSeverity'!G21</f>
        <v/>
      </c>
      <c r="D21">
        <f>'2_MechAdd_LowSeverity'!H21</f>
        <v/>
      </c>
      <c r="E21">
        <f>'2_MechAdd_LowSeverity'!I21</f>
        <v/>
      </c>
      <c r="F21">
        <f>'2_MechAdd_ModSeverity'!G21</f>
        <v/>
      </c>
      <c r="G21">
        <f>'2_MechAdd_ModSeverity'!H21</f>
        <v/>
      </c>
      <c r="H21">
        <f>'2_MechAdd_ModSeverity'!I21</f>
        <v/>
      </c>
      <c r="I21">
        <f>'2_MechAdd_HighSeverity'!G21</f>
        <v/>
      </c>
      <c r="J21">
        <f>'2_MechAdd_HighSeverity'!H21</f>
        <v/>
      </c>
      <c r="K21">
        <f>'2_MechAdd_HighSeverity'!I21</f>
        <v/>
      </c>
      <c r="L21">
        <f>'2_MechAdd_LowSeverity'!J21</f>
        <v/>
      </c>
      <c r="M21">
        <f>'2_MechAdd_LowSeverity'!K21</f>
        <v/>
      </c>
      <c r="N21">
        <f>'2_MechAdd_LowSeverity'!L21</f>
        <v/>
      </c>
      <c r="O21">
        <f>'2_MechAdd_LowSeverity'!M21</f>
        <v/>
      </c>
      <c r="P21">
        <f>'2_MechAdd_ModSeverity'!K21</f>
        <v/>
      </c>
      <c r="Q21">
        <f>'2_MechAdd_ModSeverity'!L21</f>
        <v/>
      </c>
      <c r="R21">
        <f>'2_MechAdd_ModSeverity'!M21</f>
        <v/>
      </c>
      <c r="S21">
        <f>'2_MechAdd_HighSeverity'!K21</f>
        <v/>
      </c>
      <c r="T21">
        <f>'2_MechAdd_HighSeverity'!L21</f>
        <v/>
      </c>
      <c r="U21">
        <f>'2_MechAdd_HighSeverity'!M21</f>
        <v/>
      </c>
      <c r="V21">
        <f>'2_MechAdd_LowSeverity'!N21</f>
        <v/>
      </c>
      <c r="W21">
        <f>'2_MechAdd_LowSeverity'!O21</f>
        <v/>
      </c>
      <c r="X21">
        <f>'2_MechAdd_LowSeverity'!P21</f>
        <v/>
      </c>
      <c r="Y21">
        <f>'2_MechAdd_LowSeverity'!Q21</f>
        <v/>
      </c>
      <c r="Z21">
        <f>'2_MechAdd_ModSeverity'!O21</f>
        <v/>
      </c>
      <c r="AA21">
        <f>'2_MechAdd_ModSeverity'!P21</f>
        <v/>
      </c>
      <c r="AB21">
        <f>'2_MechAdd_ModSeverity'!Q21</f>
        <v/>
      </c>
      <c r="AC21">
        <f>'2_MechAdd_HighSeverity'!O21</f>
        <v/>
      </c>
      <c r="AD21">
        <f>'2_MechAdd_HighSeverity'!P21</f>
        <v/>
      </c>
      <c r="AE21">
        <f>'2_MechAdd_HighSeverity'!Q21</f>
        <v/>
      </c>
      <c r="AF21">
        <f>'2_MechAdd_LowSeverity'!R21</f>
        <v/>
      </c>
      <c r="AG21">
        <f>'2_MechAdd_LowSeverity'!S21</f>
        <v/>
      </c>
      <c r="AH21">
        <f>'2_MechAdd_LowSeverity'!T21</f>
        <v/>
      </c>
      <c r="AI21">
        <f>'2_MechAdd_LowSeverity'!U21</f>
        <v/>
      </c>
      <c r="AJ21">
        <f>'2_MechAdd_ModSeverity'!S21</f>
        <v/>
      </c>
      <c r="AK21">
        <f>'2_MechAdd_ModSeverity'!T21</f>
        <v/>
      </c>
      <c r="AL21">
        <f>'2_MechAdd_ModSeverity'!U21</f>
        <v/>
      </c>
      <c r="AM21">
        <f>'2_MechAdd_HighSeverity'!S21</f>
        <v/>
      </c>
      <c r="AN21">
        <f>'2_MechAdd_HighSeverity'!T21</f>
        <v/>
      </c>
      <c r="AO21">
        <f>'2_MechAdd_HighSeverity'!U21</f>
        <v/>
      </c>
      <c r="AP21">
        <f>'2_MechAdd_LowSeverity'!V21</f>
        <v/>
      </c>
      <c r="AQ21">
        <f>'2_MechAdd_LowSeverity'!W21</f>
        <v/>
      </c>
      <c r="AR21">
        <f>'2_MechAdd_LowSeverity'!X21</f>
        <v/>
      </c>
      <c r="AS21">
        <f>'2_MechAdd_LowSeverity'!Y21</f>
        <v/>
      </c>
      <c r="AT21">
        <f>'2_MechAdd_ModSeverity'!W21</f>
        <v/>
      </c>
      <c r="AU21">
        <f>'2_MechAdd_ModSeverity'!X21</f>
        <v/>
      </c>
      <c r="AV21">
        <f>'2_MechAdd_ModSeverity'!Y21</f>
        <v/>
      </c>
      <c r="AW21">
        <f>'2_MechAdd_HighSeverity'!W21</f>
        <v/>
      </c>
      <c r="AX21">
        <f>'2_MechAdd_HighSeverity'!X21</f>
        <v/>
      </c>
      <c r="AY21">
        <f>'2_MechAdd_HighSeverity'!Y21</f>
        <v/>
      </c>
      <c r="AZ21">
        <f>'2_MechAdd_LowSeverity'!Z21</f>
        <v/>
      </c>
      <c r="BA21">
        <f>'2_MechAdd_LowSeverity'!AA21</f>
        <v/>
      </c>
      <c r="BB21">
        <f>'2_MechAdd_LowSeverity'!AB21</f>
        <v/>
      </c>
      <c r="BC21">
        <f>'2_MechAdd_LowSeverity'!AC21</f>
        <v/>
      </c>
      <c r="BD21">
        <f>'2_MechAdd_ModSeverity'!AA21</f>
        <v/>
      </c>
      <c r="BE21">
        <f>'2_MechAdd_ModSeverity'!AB21</f>
        <v/>
      </c>
      <c r="BF21">
        <f>'2_MechAdd_ModSeverity'!AC21</f>
        <v/>
      </c>
      <c r="BG21">
        <f>'2_MechAdd_HighSeverity'!AA21</f>
        <v/>
      </c>
      <c r="BH21">
        <f>'2_MechAdd_HighSeverity'!AB21</f>
        <v/>
      </c>
      <c r="BI21">
        <f>'2_MechAdd_HighSeverity'!AC21</f>
        <v/>
      </c>
    </row>
    <row r="22">
      <c r="A22" s="34">
        <f>'2_MechAdd_Script'!A22</f>
        <v/>
      </c>
      <c r="B22">
        <f>'2_MechAdd_LowSeverity'!F22</f>
        <v/>
      </c>
      <c r="C22">
        <f>'2_MechAdd_LowSeverity'!G22</f>
        <v/>
      </c>
      <c r="D22">
        <f>'2_MechAdd_LowSeverity'!H22</f>
        <v/>
      </c>
      <c r="E22">
        <f>'2_MechAdd_LowSeverity'!I22</f>
        <v/>
      </c>
      <c r="F22">
        <f>'2_MechAdd_ModSeverity'!G22</f>
        <v/>
      </c>
      <c r="G22">
        <f>'2_MechAdd_ModSeverity'!H22</f>
        <v/>
      </c>
      <c r="H22">
        <f>'2_MechAdd_ModSeverity'!I22</f>
        <v/>
      </c>
      <c r="I22">
        <f>'2_MechAdd_HighSeverity'!G22</f>
        <v/>
      </c>
      <c r="J22">
        <f>'2_MechAdd_HighSeverity'!H22</f>
        <v/>
      </c>
      <c r="K22">
        <f>'2_MechAdd_HighSeverity'!I22</f>
        <v/>
      </c>
      <c r="L22">
        <f>'2_MechAdd_LowSeverity'!J22</f>
        <v/>
      </c>
      <c r="M22">
        <f>'2_MechAdd_LowSeverity'!K22</f>
        <v/>
      </c>
      <c r="N22">
        <f>'2_MechAdd_LowSeverity'!L22</f>
        <v/>
      </c>
      <c r="O22">
        <f>'2_MechAdd_LowSeverity'!M22</f>
        <v/>
      </c>
      <c r="P22">
        <f>'2_MechAdd_ModSeverity'!K22</f>
        <v/>
      </c>
      <c r="Q22">
        <f>'2_MechAdd_ModSeverity'!L22</f>
        <v/>
      </c>
      <c r="R22">
        <f>'2_MechAdd_ModSeverity'!M22</f>
        <v/>
      </c>
      <c r="S22">
        <f>'2_MechAdd_HighSeverity'!K22</f>
        <v/>
      </c>
      <c r="T22">
        <f>'2_MechAdd_HighSeverity'!L22</f>
        <v/>
      </c>
      <c r="U22">
        <f>'2_MechAdd_HighSeverity'!M22</f>
        <v/>
      </c>
      <c r="V22">
        <f>'2_MechAdd_LowSeverity'!N22</f>
        <v/>
      </c>
      <c r="W22">
        <f>'2_MechAdd_LowSeverity'!O22</f>
        <v/>
      </c>
      <c r="X22">
        <f>'2_MechAdd_LowSeverity'!P22</f>
        <v/>
      </c>
      <c r="Y22">
        <f>'2_MechAdd_LowSeverity'!Q22</f>
        <v/>
      </c>
      <c r="Z22">
        <f>'2_MechAdd_ModSeverity'!O22</f>
        <v/>
      </c>
      <c r="AA22">
        <f>'2_MechAdd_ModSeverity'!P22</f>
        <v/>
      </c>
      <c r="AB22">
        <f>'2_MechAdd_ModSeverity'!Q22</f>
        <v/>
      </c>
      <c r="AC22">
        <f>'2_MechAdd_HighSeverity'!O22</f>
        <v/>
      </c>
      <c r="AD22">
        <f>'2_MechAdd_HighSeverity'!P22</f>
        <v/>
      </c>
      <c r="AE22">
        <f>'2_MechAdd_HighSeverity'!Q22</f>
        <v/>
      </c>
      <c r="AF22">
        <f>'2_MechAdd_LowSeverity'!R22</f>
        <v/>
      </c>
      <c r="AG22">
        <f>'2_MechAdd_LowSeverity'!S22</f>
        <v/>
      </c>
      <c r="AH22">
        <f>'2_MechAdd_LowSeverity'!T22</f>
        <v/>
      </c>
      <c r="AI22">
        <f>'2_MechAdd_LowSeverity'!U22</f>
        <v/>
      </c>
      <c r="AJ22">
        <f>'2_MechAdd_ModSeverity'!S22</f>
        <v/>
      </c>
      <c r="AK22">
        <f>'2_MechAdd_ModSeverity'!T22</f>
        <v/>
      </c>
      <c r="AL22">
        <f>'2_MechAdd_ModSeverity'!U22</f>
        <v/>
      </c>
      <c r="AM22">
        <f>'2_MechAdd_HighSeverity'!S22</f>
        <v/>
      </c>
      <c r="AN22">
        <f>'2_MechAdd_HighSeverity'!T22</f>
        <v/>
      </c>
      <c r="AO22">
        <f>'2_MechAdd_HighSeverity'!U22</f>
        <v/>
      </c>
      <c r="AP22">
        <f>'2_MechAdd_LowSeverity'!V22</f>
        <v/>
      </c>
      <c r="AQ22">
        <f>'2_MechAdd_LowSeverity'!W22</f>
        <v/>
      </c>
      <c r="AR22">
        <f>'2_MechAdd_LowSeverity'!X22</f>
        <v/>
      </c>
      <c r="AS22">
        <f>'2_MechAdd_LowSeverity'!Y22</f>
        <v/>
      </c>
      <c r="AT22">
        <f>'2_MechAdd_ModSeverity'!W22</f>
        <v/>
      </c>
      <c r="AU22">
        <f>'2_MechAdd_ModSeverity'!X22</f>
        <v/>
      </c>
      <c r="AV22">
        <f>'2_MechAdd_ModSeverity'!Y22</f>
        <v/>
      </c>
      <c r="AW22">
        <f>'2_MechAdd_HighSeverity'!W22</f>
        <v/>
      </c>
      <c r="AX22">
        <f>'2_MechAdd_HighSeverity'!X22</f>
        <v/>
      </c>
      <c r="AY22">
        <f>'2_MechAdd_HighSeverity'!Y22</f>
        <v/>
      </c>
      <c r="AZ22">
        <f>'2_MechAdd_LowSeverity'!Z22</f>
        <v/>
      </c>
      <c r="BA22">
        <f>'2_MechAdd_LowSeverity'!AA22</f>
        <v/>
      </c>
      <c r="BB22">
        <f>'2_MechAdd_LowSeverity'!AB22</f>
        <v/>
      </c>
      <c r="BC22">
        <f>'2_MechAdd_LowSeverity'!AC22</f>
        <v/>
      </c>
      <c r="BD22">
        <f>'2_MechAdd_ModSeverity'!AA22</f>
        <v/>
      </c>
      <c r="BE22">
        <f>'2_MechAdd_ModSeverity'!AB22</f>
        <v/>
      </c>
      <c r="BF22">
        <f>'2_MechAdd_ModSeverity'!AC22</f>
        <v/>
      </c>
      <c r="BG22">
        <f>'2_MechAdd_HighSeverity'!AA22</f>
        <v/>
      </c>
      <c r="BH22">
        <f>'2_MechAdd_HighSeverity'!AB22</f>
        <v/>
      </c>
      <c r="BI22">
        <f>'2_MechAdd_HighSeverity'!AC22</f>
        <v/>
      </c>
    </row>
    <row r="23">
      <c r="A23" s="34">
        <f>'2_MechAdd_Script'!A23</f>
        <v/>
      </c>
      <c r="B23">
        <f>'2_MechAdd_LowSeverity'!F23</f>
        <v/>
      </c>
      <c r="C23">
        <f>'2_MechAdd_LowSeverity'!G23</f>
        <v/>
      </c>
      <c r="D23">
        <f>'2_MechAdd_LowSeverity'!H23</f>
        <v/>
      </c>
      <c r="E23">
        <f>'2_MechAdd_LowSeverity'!I23</f>
        <v/>
      </c>
      <c r="F23">
        <f>'2_MechAdd_ModSeverity'!G23</f>
        <v/>
      </c>
      <c r="G23">
        <f>'2_MechAdd_ModSeverity'!H23</f>
        <v/>
      </c>
      <c r="H23">
        <f>'2_MechAdd_ModSeverity'!I23</f>
        <v/>
      </c>
      <c r="I23">
        <f>'2_MechAdd_HighSeverity'!G23</f>
        <v/>
      </c>
      <c r="J23">
        <f>'2_MechAdd_HighSeverity'!H23</f>
        <v/>
      </c>
      <c r="K23">
        <f>'2_MechAdd_HighSeverity'!I23</f>
        <v/>
      </c>
      <c r="L23">
        <f>'2_MechAdd_LowSeverity'!J23</f>
        <v/>
      </c>
      <c r="M23">
        <f>'2_MechAdd_LowSeverity'!K23</f>
        <v/>
      </c>
      <c r="N23">
        <f>'2_MechAdd_LowSeverity'!L23</f>
        <v/>
      </c>
      <c r="O23">
        <f>'2_MechAdd_LowSeverity'!M23</f>
        <v/>
      </c>
      <c r="P23">
        <f>'2_MechAdd_ModSeverity'!K23</f>
        <v/>
      </c>
      <c r="Q23">
        <f>'2_MechAdd_ModSeverity'!L23</f>
        <v/>
      </c>
      <c r="R23">
        <f>'2_MechAdd_ModSeverity'!M23</f>
        <v/>
      </c>
      <c r="S23">
        <f>'2_MechAdd_HighSeverity'!K23</f>
        <v/>
      </c>
      <c r="T23">
        <f>'2_MechAdd_HighSeverity'!L23</f>
        <v/>
      </c>
      <c r="U23">
        <f>'2_MechAdd_HighSeverity'!M23</f>
        <v/>
      </c>
      <c r="V23">
        <f>'2_MechAdd_LowSeverity'!N23</f>
        <v/>
      </c>
      <c r="W23">
        <f>'2_MechAdd_LowSeverity'!O23</f>
        <v/>
      </c>
      <c r="X23">
        <f>'2_MechAdd_LowSeverity'!P23</f>
        <v/>
      </c>
      <c r="Y23">
        <f>'2_MechAdd_LowSeverity'!Q23</f>
        <v/>
      </c>
      <c r="Z23">
        <f>'2_MechAdd_ModSeverity'!O23</f>
        <v/>
      </c>
      <c r="AA23">
        <f>'2_MechAdd_ModSeverity'!P23</f>
        <v/>
      </c>
      <c r="AB23">
        <f>'2_MechAdd_ModSeverity'!Q23</f>
        <v/>
      </c>
      <c r="AC23">
        <f>'2_MechAdd_HighSeverity'!O23</f>
        <v/>
      </c>
      <c r="AD23">
        <f>'2_MechAdd_HighSeverity'!P23</f>
        <v/>
      </c>
      <c r="AE23">
        <f>'2_MechAdd_HighSeverity'!Q23</f>
        <v/>
      </c>
      <c r="AF23">
        <f>'2_MechAdd_LowSeverity'!R23</f>
        <v/>
      </c>
      <c r="AG23">
        <f>'2_MechAdd_LowSeverity'!S23</f>
        <v/>
      </c>
      <c r="AH23">
        <f>'2_MechAdd_LowSeverity'!T23</f>
        <v/>
      </c>
      <c r="AI23">
        <f>'2_MechAdd_LowSeverity'!U23</f>
        <v/>
      </c>
      <c r="AJ23">
        <f>'2_MechAdd_ModSeverity'!S23</f>
        <v/>
      </c>
      <c r="AK23">
        <f>'2_MechAdd_ModSeverity'!T23</f>
        <v/>
      </c>
      <c r="AL23">
        <f>'2_MechAdd_ModSeverity'!U23</f>
        <v/>
      </c>
      <c r="AM23">
        <f>'2_MechAdd_HighSeverity'!S23</f>
        <v/>
      </c>
      <c r="AN23">
        <f>'2_MechAdd_HighSeverity'!T23</f>
        <v/>
      </c>
      <c r="AO23">
        <f>'2_MechAdd_HighSeverity'!U23</f>
        <v/>
      </c>
      <c r="AP23">
        <f>'2_MechAdd_LowSeverity'!V23</f>
        <v/>
      </c>
      <c r="AQ23">
        <f>'2_MechAdd_LowSeverity'!W23</f>
        <v/>
      </c>
      <c r="AR23">
        <f>'2_MechAdd_LowSeverity'!X23</f>
        <v/>
      </c>
      <c r="AS23">
        <f>'2_MechAdd_LowSeverity'!Y23</f>
        <v/>
      </c>
      <c r="AT23">
        <f>'2_MechAdd_ModSeverity'!W23</f>
        <v/>
      </c>
      <c r="AU23">
        <f>'2_MechAdd_ModSeverity'!X23</f>
        <v/>
      </c>
      <c r="AV23">
        <f>'2_MechAdd_ModSeverity'!Y23</f>
        <v/>
      </c>
      <c r="AW23">
        <f>'2_MechAdd_HighSeverity'!W23</f>
        <v/>
      </c>
      <c r="AX23">
        <f>'2_MechAdd_HighSeverity'!X23</f>
        <v/>
      </c>
      <c r="AY23">
        <f>'2_MechAdd_HighSeverity'!Y23</f>
        <v/>
      </c>
      <c r="AZ23">
        <f>'2_MechAdd_LowSeverity'!Z23</f>
        <v/>
      </c>
      <c r="BA23">
        <f>'2_MechAdd_LowSeverity'!AA23</f>
        <v/>
      </c>
      <c r="BB23">
        <f>'2_MechAdd_LowSeverity'!AB23</f>
        <v/>
      </c>
      <c r="BC23">
        <f>'2_MechAdd_LowSeverity'!AC23</f>
        <v/>
      </c>
      <c r="BD23">
        <f>'2_MechAdd_ModSeverity'!AA23</f>
        <v/>
      </c>
      <c r="BE23">
        <f>'2_MechAdd_ModSeverity'!AB23</f>
        <v/>
      </c>
      <c r="BF23">
        <f>'2_MechAdd_ModSeverity'!AC23</f>
        <v/>
      </c>
      <c r="BG23">
        <f>'2_MechAdd_HighSeverity'!AA23</f>
        <v/>
      </c>
      <c r="BH23">
        <f>'2_MechAdd_HighSeverity'!AB23</f>
        <v/>
      </c>
      <c r="BI23">
        <f>'2_MechAdd_HighSeverity'!AC23</f>
        <v/>
      </c>
    </row>
    <row r="24">
      <c r="A24" s="34">
        <f>'2_MechAdd_Script'!A24</f>
        <v/>
      </c>
      <c r="B24">
        <f>'2_MechAdd_LowSeverity'!F24</f>
        <v/>
      </c>
      <c r="C24">
        <f>'2_MechAdd_LowSeverity'!G24</f>
        <v/>
      </c>
      <c r="D24">
        <f>'2_MechAdd_LowSeverity'!H24</f>
        <v/>
      </c>
      <c r="E24">
        <f>'2_MechAdd_LowSeverity'!I24</f>
        <v/>
      </c>
      <c r="F24">
        <f>'2_MechAdd_ModSeverity'!G24</f>
        <v/>
      </c>
      <c r="G24">
        <f>'2_MechAdd_ModSeverity'!H24</f>
        <v/>
      </c>
      <c r="H24">
        <f>'2_MechAdd_ModSeverity'!I24</f>
        <v/>
      </c>
      <c r="I24">
        <f>'2_MechAdd_HighSeverity'!G24</f>
        <v/>
      </c>
      <c r="J24">
        <f>'2_MechAdd_HighSeverity'!H24</f>
        <v/>
      </c>
      <c r="K24">
        <f>'2_MechAdd_HighSeverity'!I24</f>
        <v/>
      </c>
      <c r="L24">
        <f>'2_MechAdd_LowSeverity'!J24</f>
        <v/>
      </c>
      <c r="M24">
        <f>'2_MechAdd_LowSeverity'!K24</f>
        <v/>
      </c>
      <c r="N24">
        <f>'2_MechAdd_LowSeverity'!L24</f>
        <v/>
      </c>
      <c r="O24">
        <f>'2_MechAdd_LowSeverity'!M24</f>
        <v/>
      </c>
      <c r="P24">
        <f>'2_MechAdd_ModSeverity'!K24</f>
        <v/>
      </c>
      <c r="Q24">
        <f>'2_MechAdd_ModSeverity'!L24</f>
        <v/>
      </c>
      <c r="R24">
        <f>'2_MechAdd_ModSeverity'!M24</f>
        <v/>
      </c>
      <c r="S24">
        <f>'2_MechAdd_HighSeverity'!K24</f>
        <v/>
      </c>
      <c r="T24">
        <f>'2_MechAdd_HighSeverity'!L24</f>
        <v/>
      </c>
      <c r="U24">
        <f>'2_MechAdd_HighSeverity'!M24</f>
        <v/>
      </c>
      <c r="V24">
        <f>'2_MechAdd_LowSeverity'!N24</f>
        <v/>
      </c>
      <c r="W24">
        <f>'2_MechAdd_LowSeverity'!O24</f>
        <v/>
      </c>
      <c r="X24">
        <f>'2_MechAdd_LowSeverity'!P24</f>
        <v/>
      </c>
      <c r="Y24">
        <f>'2_MechAdd_LowSeverity'!Q24</f>
        <v/>
      </c>
      <c r="Z24">
        <f>'2_MechAdd_ModSeverity'!O24</f>
        <v/>
      </c>
      <c r="AA24">
        <f>'2_MechAdd_ModSeverity'!P24</f>
        <v/>
      </c>
      <c r="AB24">
        <f>'2_MechAdd_ModSeverity'!Q24</f>
        <v/>
      </c>
      <c r="AC24">
        <f>'2_MechAdd_HighSeverity'!O24</f>
        <v/>
      </c>
      <c r="AD24">
        <f>'2_MechAdd_HighSeverity'!P24</f>
        <v/>
      </c>
      <c r="AE24">
        <f>'2_MechAdd_HighSeverity'!Q24</f>
        <v/>
      </c>
      <c r="AF24">
        <f>'2_MechAdd_LowSeverity'!R24</f>
        <v/>
      </c>
      <c r="AG24">
        <f>'2_MechAdd_LowSeverity'!S24</f>
        <v/>
      </c>
      <c r="AH24">
        <f>'2_MechAdd_LowSeverity'!T24</f>
        <v/>
      </c>
      <c r="AI24">
        <f>'2_MechAdd_LowSeverity'!U24</f>
        <v/>
      </c>
      <c r="AJ24">
        <f>'2_MechAdd_ModSeverity'!S24</f>
        <v/>
      </c>
      <c r="AK24">
        <f>'2_MechAdd_ModSeverity'!T24</f>
        <v/>
      </c>
      <c r="AL24">
        <f>'2_MechAdd_ModSeverity'!U24</f>
        <v/>
      </c>
      <c r="AM24">
        <f>'2_MechAdd_HighSeverity'!S24</f>
        <v/>
      </c>
      <c r="AN24">
        <f>'2_MechAdd_HighSeverity'!T24</f>
        <v/>
      </c>
      <c r="AO24">
        <f>'2_MechAdd_HighSeverity'!U24</f>
        <v/>
      </c>
      <c r="AP24">
        <f>'2_MechAdd_LowSeverity'!V24</f>
        <v/>
      </c>
      <c r="AQ24">
        <f>'2_MechAdd_LowSeverity'!W24</f>
        <v/>
      </c>
      <c r="AR24">
        <f>'2_MechAdd_LowSeverity'!X24</f>
        <v/>
      </c>
      <c r="AS24">
        <f>'2_MechAdd_LowSeverity'!Y24</f>
        <v/>
      </c>
      <c r="AT24">
        <f>'2_MechAdd_ModSeverity'!W24</f>
        <v/>
      </c>
      <c r="AU24">
        <f>'2_MechAdd_ModSeverity'!X24</f>
        <v/>
      </c>
      <c r="AV24">
        <f>'2_MechAdd_ModSeverity'!Y24</f>
        <v/>
      </c>
      <c r="AW24">
        <f>'2_MechAdd_HighSeverity'!W24</f>
        <v/>
      </c>
      <c r="AX24">
        <f>'2_MechAdd_HighSeverity'!X24</f>
        <v/>
      </c>
      <c r="AY24">
        <f>'2_MechAdd_HighSeverity'!Y24</f>
        <v/>
      </c>
      <c r="AZ24">
        <f>'2_MechAdd_LowSeverity'!Z24</f>
        <v/>
      </c>
      <c r="BA24">
        <f>'2_MechAdd_LowSeverity'!AA24</f>
        <v/>
      </c>
      <c r="BB24">
        <f>'2_MechAdd_LowSeverity'!AB24</f>
        <v/>
      </c>
      <c r="BC24">
        <f>'2_MechAdd_LowSeverity'!AC24</f>
        <v/>
      </c>
      <c r="BD24">
        <f>'2_MechAdd_ModSeverity'!AA24</f>
        <v/>
      </c>
      <c r="BE24">
        <f>'2_MechAdd_ModSeverity'!AB24</f>
        <v/>
      </c>
      <c r="BF24">
        <f>'2_MechAdd_ModSeverity'!AC24</f>
        <v/>
      </c>
      <c r="BG24">
        <f>'2_MechAdd_HighSeverity'!AA24</f>
        <v/>
      </c>
      <c r="BH24">
        <f>'2_MechAdd_HighSeverity'!AB24</f>
        <v/>
      </c>
      <c r="BI24">
        <f>'2_MechAdd_HighSeverity'!AC24</f>
        <v/>
      </c>
    </row>
    <row r="25">
      <c r="A25" s="34">
        <f>'2_MechAdd_Script'!A25</f>
        <v/>
      </c>
      <c r="B25">
        <f>'2_MechAdd_LowSeverity'!F25</f>
        <v/>
      </c>
      <c r="C25">
        <f>'2_MechAdd_LowSeverity'!G25</f>
        <v/>
      </c>
      <c r="D25">
        <f>'2_MechAdd_LowSeverity'!H25</f>
        <v/>
      </c>
      <c r="E25">
        <f>'2_MechAdd_LowSeverity'!I25</f>
        <v/>
      </c>
      <c r="F25">
        <f>'2_MechAdd_ModSeverity'!G25</f>
        <v/>
      </c>
      <c r="G25">
        <f>'2_MechAdd_ModSeverity'!H25</f>
        <v/>
      </c>
      <c r="H25">
        <f>'2_MechAdd_ModSeverity'!I25</f>
        <v/>
      </c>
      <c r="I25">
        <f>'2_MechAdd_HighSeverity'!G25</f>
        <v/>
      </c>
      <c r="J25">
        <f>'2_MechAdd_HighSeverity'!H25</f>
        <v/>
      </c>
      <c r="K25">
        <f>'2_MechAdd_HighSeverity'!I25</f>
        <v/>
      </c>
      <c r="L25">
        <f>'2_MechAdd_LowSeverity'!J25</f>
        <v/>
      </c>
      <c r="M25">
        <f>'2_MechAdd_LowSeverity'!K25</f>
        <v/>
      </c>
      <c r="N25">
        <f>'2_MechAdd_LowSeverity'!L25</f>
        <v/>
      </c>
      <c r="O25">
        <f>'2_MechAdd_LowSeverity'!M25</f>
        <v/>
      </c>
      <c r="P25">
        <f>'2_MechAdd_ModSeverity'!K25</f>
        <v/>
      </c>
      <c r="Q25">
        <f>'2_MechAdd_ModSeverity'!L25</f>
        <v/>
      </c>
      <c r="R25">
        <f>'2_MechAdd_ModSeverity'!M25</f>
        <v/>
      </c>
      <c r="S25">
        <f>'2_MechAdd_HighSeverity'!K25</f>
        <v/>
      </c>
      <c r="T25">
        <f>'2_MechAdd_HighSeverity'!L25</f>
        <v/>
      </c>
      <c r="U25">
        <f>'2_MechAdd_HighSeverity'!M25</f>
        <v/>
      </c>
      <c r="V25">
        <f>'2_MechAdd_LowSeverity'!N25</f>
        <v/>
      </c>
      <c r="W25">
        <f>'2_MechAdd_LowSeverity'!O25</f>
        <v/>
      </c>
      <c r="X25">
        <f>'2_MechAdd_LowSeverity'!P25</f>
        <v/>
      </c>
      <c r="Y25">
        <f>'2_MechAdd_LowSeverity'!Q25</f>
        <v/>
      </c>
      <c r="Z25">
        <f>'2_MechAdd_ModSeverity'!O25</f>
        <v/>
      </c>
      <c r="AA25">
        <f>'2_MechAdd_ModSeverity'!P25</f>
        <v/>
      </c>
      <c r="AB25">
        <f>'2_MechAdd_ModSeverity'!Q25</f>
        <v/>
      </c>
      <c r="AC25">
        <f>'2_MechAdd_HighSeverity'!O25</f>
        <v/>
      </c>
      <c r="AD25">
        <f>'2_MechAdd_HighSeverity'!P25</f>
        <v/>
      </c>
      <c r="AE25">
        <f>'2_MechAdd_HighSeverity'!Q25</f>
        <v/>
      </c>
      <c r="AF25">
        <f>'2_MechAdd_LowSeverity'!R25</f>
        <v/>
      </c>
      <c r="AG25">
        <f>'2_MechAdd_LowSeverity'!S25</f>
        <v/>
      </c>
      <c r="AH25">
        <f>'2_MechAdd_LowSeverity'!T25</f>
        <v/>
      </c>
      <c r="AI25">
        <f>'2_MechAdd_LowSeverity'!U25</f>
        <v/>
      </c>
      <c r="AJ25">
        <f>'2_MechAdd_ModSeverity'!S25</f>
        <v/>
      </c>
      <c r="AK25">
        <f>'2_MechAdd_ModSeverity'!T25</f>
        <v/>
      </c>
      <c r="AL25">
        <f>'2_MechAdd_ModSeverity'!U25</f>
        <v/>
      </c>
      <c r="AM25">
        <f>'2_MechAdd_HighSeverity'!S25</f>
        <v/>
      </c>
      <c r="AN25">
        <f>'2_MechAdd_HighSeverity'!T25</f>
        <v/>
      </c>
      <c r="AO25">
        <f>'2_MechAdd_HighSeverity'!U25</f>
        <v/>
      </c>
      <c r="AP25">
        <f>'2_MechAdd_LowSeverity'!V25</f>
        <v/>
      </c>
      <c r="AQ25">
        <f>'2_MechAdd_LowSeverity'!W25</f>
        <v/>
      </c>
      <c r="AR25">
        <f>'2_MechAdd_LowSeverity'!X25</f>
        <v/>
      </c>
      <c r="AS25">
        <f>'2_MechAdd_LowSeverity'!Y25</f>
        <v/>
      </c>
      <c r="AT25">
        <f>'2_MechAdd_ModSeverity'!W25</f>
        <v/>
      </c>
      <c r="AU25">
        <f>'2_MechAdd_ModSeverity'!X25</f>
        <v/>
      </c>
      <c r="AV25">
        <f>'2_MechAdd_ModSeverity'!Y25</f>
        <v/>
      </c>
      <c r="AW25">
        <f>'2_MechAdd_HighSeverity'!W25</f>
        <v/>
      </c>
      <c r="AX25">
        <f>'2_MechAdd_HighSeverity'!X25</f>
        <v/>
      </c>
      <c r="AY25">
        <f>'2_MechAdd_HighSeverity'!Y25</f>
        <v/>
      </c>
      <c r="AZ25">
        <f>'2_MechAdd_LowSeverity'!Z25</f>
        <v/>
      </c>
      <c r="BA25">
        <f>'2_MechAdd_LowSeverity'!AA25</f>
        <v/>
      </c>
      <c r="BB25">
        <f>'2_MechAdd_LowSeverity'!AB25</f>
        <v/>
      </c>
      <c r="BC25">
        <f>'2_MechAdd_LowSeverity'!AC25</f>
        <v/>
      </c>
      <c r="BD25">
        <f>'2_MechAdd_ModSeverity'!AA25</f>
        <v/>
      </c>
      <c r="BE25">
        <f>'2_MechAdd_ModSeverity'!AB25</f>
        <v/>
      </c>
      <c r="BF25">
        <f>'2_MechAdd_ModSeverity'!AC25</f>
        <v/>
      </c>
      <c r="BG25">
        <f>'2_MechAdd_HighSeverity'!AA25</f>
        <v/>
      </c>
      <c r="BH25">
        <f>'2_MechAdd_HighSeverity'!AB25</f>
        <v/>
      </c>
      <c r="BI25">
        <f>'2_MechAdd_HighSeverity'!AC25</f>
        <v/>
      </c>
    </row>
    <row r="26">
      <c r="A26" s="34">
        <f>'2_MechAdd_Script'!A26</f>
        <v/>
      </c>
      <c r="B26">
        <f>'2_MechAdd_LowSeverity'!F26</f>
        <v/>
      </c>
      <c r="C26">
        <f>'2_MechAdd_LowSeverity'!G26</f>
        <v/>
      </c>
      <c r="D26">
        <f>'2_MechAdd_LowSeverity'!H26</f>
        <v/>
      </c>
      <c r="E26">
        <f>'2_MechAdd_LowSeverity'!I26</f>
        <v/>
      </c>
      <c r="F26">
        <f>'2_MechAdd_ModSeverity'!G26</f>
        <v/>
      </c>
      <c r="G26">
        <f>'2_MechAdd_ModSeverity'!H26</f>
        <v/>
      </c>
      <c r="H26">
        <f>'2_MechAdd_ModSeverity'!I26</f>
        <v/>
      </c>
      <c r="I26">
        <f>'2_MechAdd_HighSeverity'!G26</f>
        <v/>
      </c>
      <c r="J26">
        <f>'2_MechAdd_HighSeverity'!H26</f>
        <v/>
      </c>
      <c r="K26">
        <f>'2_MechAdd_HighSeverity'!I26</f>
        <v/>
      </c>
      <c r="L26">
        <f>'2_MechAdd_LowSeverity'!J26</f>
        <v/>
      </c>
      <c r="M26">
        <f>'2_MechAdd_LowSeverity'!K26</f>
        <v/>
      </c>
      <c r="N26">
        <f>'2_MechAdd_LowSeverity'!L26</f>
        <v/>
      </c>
      <c r="O26">
        <f>'2_MechAdd_LowSeverity'!M26</f>
        <v/>
      </c>
      <c r="P26">
        <f>'2_MechAdd_ModSeverity'!K26</f>
        <v/>
      </c>
      <c r="Q26">
        <f>'2_MechAdd_ModSeverity'!L26</f>
        <v/>
      </c>
      <c r="R26">
        <f>'2_MechAdd_ModSeverity'!M26</f>
        <v/>
      </c>
      <c r="S26">
        <f>'2_MechAdd_HighSeverity'!K26</f>
        <v/>
      </c>
      <c r="T26">
        <f>'2_MechAdd_HighSeverity'!L26</f>
        <v/>
      </c>
      <c r="U26">
        <f>'2_MechAdd_HighSeverity'!M26</f>
        <v/>
      </c>
      <c r="V26">
        <f>'2_MechAdd_LowSeverity'!N26</f>
        <v/>
      </c>
      <c r="W26">
        <f>'2_MechAdd_LowSeverity'!O26</f>
        <v/>
      </c>
      <c r="X26">
        <f>'2_MechAdd_LowSeverity'!P26</f>
        <v/>
      </c>
      <c r="Y26">
        <f>'2_MechAdd_LowSeverity'!Q26</f>
        <v/>
      </c>
      <c r="Z26">
        <f>'2_MechAdd_ModSeverity'!O26</f>
        <v/>
      </c>
      <c r="AA26">
        <f>'2_MechAdd_ModSeverity'!P26</f>
        <v/>
      </c>
      <c r="AB26">
        <f>'2_MechAdd_ModSeverity'!Q26</f>
        <v/>
      </c>
      <c r="AC26">
        <f>'2_MechAdd_HighSeverity'!O26</f>
        <v/>
      </c>
      <c r="AD26">
        <f>'2_MechAdd_HighSeverity'!P26</f>
        <v/>
      </c>
      <c r="AE26">
        <f>'2_MechAdd_HighSeverity'!Q26</f>
        <v/>
      </c>
      <c r="AF26">
        <f>'2_MechAdd_LowSeverity'!R26</f>
        <v/>
      </c>
      <c r="AG26">
        <f>'2_MechAdd_LowSeverity'!S26</f>
        <v/>
      </c>
      <c r="AH26">
        <f>'2_MechAdd_LowSeverity'!T26</f>
        <v/>
      </c>
      <c r="AI26">
        <f>'2_MechAdd_LowSeverity'!U26</f>
        <v/>
      </c>
      <c r="AJ26">
        <f>'2_MechAdd_ModSeverity'!S26</f>
        <v/>
      </c>
      <c r="AK26">
        <f>'2_MechAdd_ModSeverity'!T26</f>
        <v/>
      </c>
      <c r="AL26">
        <f>'2_MechAdd_ModSeverity'!U26</f>
        <v/>
      </c>
      <c r="AM26">
        <f>'2_MechAdd_HighSeverity'!S26</f>
        <v/>
      </c>
      <c r="AN26">
        <f>'2_MechAdd_HighSeverity'!T26</f>
        <v/>
      </c>
      <c r="AO26">
        <f>'2_MechAdd_HighSeverity'!U26</f>
        <v/>
      </c>
      <c r="AP26">
        <f>'2_MechAdd_LowSeverity'!V26</f>
        <v/>
      </c>
      <c r="AQ26">
        <f>'2_MechAdd_LowSeverity'!W26</f>
        <v/>
      </c>
      <c r="AR26">
        <f>'2_MechAdd_LowSeverity'!X26</f>
        <v/>
      </c>
      <c r="AS26">
        <f>'2_MechAdd_LowSeverity'!Y26</f>
        <v/>
      </c>
      <c r="AT26">
        <f>'2_MechAdd_ModSeverity'!W26</f>
        <v/>
      </c>
      <c r="AU26">
        <f>'2_MechAdd_ModSeverity'!X26</f>
        <v/>
      </c>
      <c r="AV26">
        <f>'2_MechAdd_ModSeverity'!Y26</f>
        <v/>
      </c>
      <c r="AW26">
        <f>'2_MechAdd_HighSeverity'!W26</f>
        <v/>
      </c>
      <c r="AX26">
        <f>'2_MechAdd_HighSeverity'!X26</f>
        <v/>
      </c>
      <c r="AY26">
        <f>'2_MechAdd_HighSeverity'!Y26</f>
        <v/>
      </c>
      <c r="AZ26">
        <f>'2_MechAdd_LowSeverity'!Z26</f>
        <v/>
      </c>
      <c r="BA26">
        <f>'2_MechAdd_LowSeverity'!AA26</f>
        <v/>
      </c>
      <c r="BB26">
        <f>'2_MechAdd_LowSeverity'!AB26</f>
        <v/>
      </c>
      <c r="BC26">
        <f>'2_MechAdd_LowSeverity'!AC26</f>
        <v/>
      </c>
      <c r="BD26">
        <f>'2_MechAdd_ModSeverity'!AA26</f>
        <v/>
      </c>
      <c r="BE26">
        <f>'2_MechAdd_ModSeverity'!AB26</f>
        <v/>
      </c>
      <c r="BF26">
        <f>'2_MechAdd_ModSeverity'!AC26</f>
        <v/>
      </c>
      <c r="BG26">
        <f>'2_MechAdd_HighSeverity'!AA26</f>
        <v/>
      </c>
      <c r="BH26">
        <f>'2_MechAdd_HighSeverity'!AB26</f>
        <v/>
      </c>
      <c r="BI26">
        <f>'2_MechAdd_HighSeverity'!AC26</f>
        <v/>
      </c>
    </row>
    <row r="27">
      <c r="A27" s="34">
        <f>'2_MechAdd_Script'!A27</f>
        <v/>
      </c>
      <c r="B27">
        <f>'2_MechAdd_LowSeverity'!F27</f>
        <v/>
      </c>
      <c r="C27">
        <f>'2_MechAdd_LowSeverity'!G27</f>
        <v/>
      </c>
      <c r="D27">
        <f>'2_MechAdd_LowSeverity'!H27</f>
        <v/>
      </c>
      <c r="E27">
        <f>'2_MechAdd_LowSeverity'!I27</f>
        <v/>
      </c>
      <c r="F27">
        <f>'2_MechAdd_ModSeverity'!G27</f>
        <v/>
      </c>
      <c r="G27">
        <f>'2_MechAdd_ModSeverity'!H27</f>
        <v/>
      </c>
      <c r="H27">
        <f>'2_MechAdd_ModSeverity'!I27</f>
        <v/>
      </c>
      <c r="I27">
        <f>'2_MechAdd_HighSeverity'!G27</f>
        <v/>
      </c>
      <c r="J27">
        <f>'2_MechAdd_HighSeverity'!H27</f>
        <v/>
      </c>
      <c r="K27">
        <f>'2_MechAdd_HighSeverity'!I27</f>
        <v/>
      </c>
      <c r="L27">
        <f>'2_MechAdd_LowSeverity'!J27</f>
        <v/>
      </c>
      <c r="M27">
        <f>'2_MechAdd_LowSeverity'!K27</f>
        <v/>
      </c>
      <c r="N27">
        <f>'2_MechAdd_LowSeverity'!L27</f>
        <v/>
      </c>
      <c r="O27">
        <f>'2_MechAdd_LowSeverity'!M27</f>
        <v/>
      </c>
      <c r="P27">
        <f>'2_MechAdd_ModSeverity'!K27</f>
        <v/>
      </c>
      <c r="Q27">
        <f>'2_MechAdd_ModSeverity'!L27</f>
        <v/>
      </c>
      <c r="R27">
        <f>'2_MechAdd_ModSeverity'!M27</f>
        <v/>
      </c>
      <c r="S27">
        <f>'2_MechAdd_HighSeverity'!K27</f>
        <v/>
      </c>
      <c r="T27">
        <f>'2_MechAdd_HighSeverity'!L27</f>
        <v/>
      </c>
      <c r="U27">
        <f>'2_MechAdd_HighSeverity'!M27</f>
        <v/>
      </c>
      <c r="V27">
        <f>'2_MechAdd_LowSeverity'!N27</f>
        <v/>
      </c>
      <c r="W27">
        <f>'2_MechAdd_LowSeverity'!O27</f>
        <v/>
      </c>
      <c r="X27">
        <f>'2_MechAdd_LowSeverity'!P27</f>
        <v/>
      </c>
      <c r="Y27">
        <f>'2_MechAdd_LowSeverity'!Q27</f>
        <v/>
      </c>
      <c r="Z27">
        <f>'2_MechAdd_ModSeverity'!O27</f>
        <v/>
      </c>
      <c r="AA27">
        <f>'2_MechAdd_ModSeverity'!P27</f>
        <v/>
      </c>
      <c r="AB27">
        <f>'2_MechAdd_ModSeverity'!Q27</f>
        <v/>
      </c>
      <c r="AC27">
        <f>'2_MechAdd_HighSeverity'!O27</f>
        <v/>
      </c>
      <c r="AD27">
        <f>'2_MechAdd_HighSeverity'!P27</f>
        <v/>
      </c>
      <c r="AE27">
        <f>'2_MechAdd_HighSeverity'!Q27</f>
        <v/>
      </c>
      <c r="AF27">
        <f>'2_MechAdd_LowSeverity'!R27</f>
        <v/>
      </c>
      <c r="AG27">
        <f>'2_MechAdd_LowSeverity'!S27</f>
        <v/>
      </c>
      <c r="AH27">
        <f>'2_MechAdd_LowSeverity'!T27</f>
        <v/>
      </c>
      <c r="AI27">
        <f>'2_MechAdd_LowSeverity'!U27</f>
        <v/>
      </c>
      <c r="AJ27">
        <f>'2_MechAdd_ModSeverity'!S27</f>
        <v/>
      </c>
      <c r="AK27">
        <f>'2_MechAdd_ModSeverity'!T27</f>
        <v/>
      </c>
      <c r="AL27">
        <f>'2_MechAdd_ModSeverity'!U27</f>
        <v/>
      </c>
      <c r="AM27">
        <f>'2_MechAdd_HighSeverity'!S27</f>
        <v/>
      </c>
      <c r="AN27">
        <f>'2_MechAdd_HighSeverity'!T27</f>
        <v/>
      </c>
      <c r="AO27">
        <f>'2_MechAdd_HighSeverity'!U27</f>
        <v/>
      </c>
      <c r="AP27">
        <f>'2_MechAdd_LowSeverity'!V27</f>
        <v/>
      </c>
      <c r="AQ27">
        <f>'2_MechAdd_LowSeverity'!W27</f>
        <v/>
      </c>
      <c r="AR27">
        <f>'2_MechAdd_LowSeverity'!X27</f>
        <v/>
      </c>
      <c r="AS27">
        <f>'2_MechAdd_LowSeverity'!Y27</f>
        <v/>
      </c>
      <c r="AT27">
        <f>'2_MechAdd_ModSeverity'!W27</f>
        <v/>
      </c>
      <c r="AU27">
        <f>'2_MechAdd_ModSeverity'!X27</f>
        <v/>
      </c>
      <c r="AV27">
        <f>'2_MechAdd_ModSeverity'!Y27</f>
        <v/>
      </c>
      <c r="AW27">
        <f>'2_MechAdd_HighSeverity'!W27</f>
        <v/>
      </c>
      <c r="AX27">
        <f>'2_MechAdd_HighSeverity'!X27</f>
        <v/>
      </c>
      <c r="AY27">
        <f>'2_MechAdd_HighSeverity'!Y27</f>
        <v/>
      </c>
      <c r="AZ27">
        <f>'2_MechAdd_LowSeverity'!Z27</f>
        <v/>
      </c>
      <c r="BA27">
        <f>'2_MechAdd_LowSeverity'!AA27</f>
        <v/>
      </c>
      <c r="BB27">
        <f>'2_MechAdd_LowSeverity'!AB27</f>
        <v/>
      </c>
      <c r="BC27">
        <f>'2_MechAdd_LowSeverity'!AC27</f>
        <v/>
      </c>
      <c r="BD27">
        <f>'2_MechAdd_ModSeverity'!AA27</f>
        <v/>
      </c>
      <c r="BE27">
        <f>'2_MechAdd_ModSeverity'!AB27</f>
        <v/>
      </c>
      <c r="BF27">
        <f>'2_MechAdd_ModSeverity'!AC27</f>
        <v/>
      </c>
      <c r="BG27">
        <f>'2_MechAdd_HighSeverity'!AA27</f>
        <v/>
      </c>
      <c r="BH27">
        <f>'2_MechAdd_HighSeverity'!AB27</f>
        <v/>
      </c>
      <c r="BI27">
        <f>'2_MechAdd_HighSeverity'!AC27</f>
        <v/>
      </c>
    </row>
    <row r="28">
      <c r="A28" s="34">
        <f>'2_MechAdd_Script'!A28</f>
        <v/>
      </c>
      <c r="B28">
        <f>'2_MechAdd_LowSeverity'!F28</f>
        <v/>
      </c>
      <c r="C28">
        <f>'2_MechAdd_LowSeverity'!G28</f>
        <v/>
      </c>
      <c r="D28">
        <f>'2_MechAdd_LowSeverity'!H28</f>
        <v/>
      </c>
      <c r="E28">
        <f>'2_MechAdd_LowSeverity'!I28</f>
        <v/>
      </c>
      <c r="F28">
        <f>'2_MechAdd_ModSeverity'!G28</f>
        <v/>
      </c>
      <c r="G28">
        <f>'2_MechAdd_ModSeverity'!H28</f>
        <v/>
      </c>
      <c r="H28">
        <f>'2_MechAdd_ModSeverity'!I28</f>
        <v/>
      </c>
      <c r="I28">
        <f>'2_MechAdd_HighSeverity'!G28</f>
        <v/>
      </c>
      <c r="J28">
        <f>'2_MechAdd_HighSeverity'!H28</f>
        <v/>
      </c>
      <c r="K28">
        <f>'2_MechAdd_HighSeverity'!I28</f>
        <v/>
      </c>
      <c r="L28">
        <f>'2_MechAdd_LowSeverity'!J28</f>
        <v/>
      </c>
      <c r="M28">
        <f>'2_MechAdd_LowSeverity'!K28</f>
        <v/>
      </c>
      <c r="N28">
        <f>'2_MechAdd_LowSeverity'!L28</f>
        <v/>
      </c>
      <c r="O28">
        <f>'2_MechAdd_LowSeverity'!M28</f>
        <v/>
      </c>
      <c r="P28">
        <f>'2_MechAdd_ModSeverity'!K28</f>
        <v/>
      </c>
      <c r="Q28">
        <f>'2_MechAdd_ModSeverity'!L28</f>
        <v/>
      </c>
      <c r="R28">
        <f>'2_MechAdd_ModSeverity'!M28</f>
        <v/>
      </c>
      <c r="S28">
        <f>'2_MechAdd_HighSeverity'!K28</f>
        <v/>
      </c>
      <c r="T28">
        <f>'2_MechAdd_HighSeverity'!L28</f>
        <v/>
      </c>
      <c r="U28">
        <f>'2_MechAdd_HighSeverity'!M28</f>
        <v/>
      </c>
      <c r="V28">
        <f>'2_MechAdd_LowSeverity'!N28</f>
        <v/>
      </c>
      <c r="W28">
        <f>'2_MechAdd_LowSeverity'!O28</f>
        <v/>
      </c>
      <c r="X28">
        <f>'2_MechAdd_LowSeverity'!P28</f>
        <v/>
      </c>
      <c r="Y28">
        <f>'2_MechAdd_LowSeverity'!Q28</f>
        <v/>
      </c>
      <c r="Z28">
        <f>'2_MechAdd_ModSeverity'!O28</f>
        <v/>
      </c>
      <c r="AA28">
        <f>'2_MechAdd_ModSeverity'!P28</f>
        <v/>
      </c>
      <c r="AB28">
        <f>'2_MechAdd_ModSeverity'!Q28</f>
        <v/>
      </c>
      <c r="AC28">
        <f>'2_MechAdd_HighSeverity'!O28</f>
        <v/>
      </c>
      <c r="AD28">
        <f>'2_MechAdd_HighSeverity'!P28</f>
        <v/>
      </c>
      <c r="AE28">
        <f>'2_MechAdd_HighSeverity'!Q28</f>
        <v/>
      </c>
      <c r="AF28">
        <f>'2_MechAdd_LowSeverity'!R28</f>
        <v/>
      </c>
      <c r="AG28">
        <f>'2_MechAdd_LowSeverity'!S28</f>
        <v/>
      </c>
      <c r="AH28">
        <f>'2_MechAdd_LowSeverity'!T28</f>
        <v/>
      </c>
      <c r="AI28">
        <f>'2_MechAdd_LowSeverity'!U28</f>
        <v/>
      </c>
      <c r="AJ28">
        <f>'2_MechAdd_ModSeverity'!S28</f>
        <v/>
      </c>
      <c r="AK28">
        <f>'2_MechAdd_ModSeverity'!T28</f>
        <v/>
      </c>
      <c r="AL28">
        <f>'2_MechAdd_ModSeverity'!U28</f>
        <v/>
      </c>
      <c r="AM28">
        <f>'2_MechAdd_HighSeverity'!S28</f>
        <v/>
      </c>
      <c r="AN28">
        <f>'2_MechAdd_HighSeverity'!T28</f>
        <v/>
      </c>
      <c r="AO28">
        <f>'2_MechAdd_HighSeverity'!U28</f>
        <v/>
      </c>
      <c r="AP28">
        <f>'2_MechAdd_LowSeverity'!V28</f>
        <v/>
      </c>
      <c r="AQ28">
        <f>'2_MechAdd_LowSeverity'!W28</f>
        <v/>
      </c>
      <c r="AR28">
        <f>'2_MechAdd_LowSeverity'!X28</f>
        <v/>
      </c>
      <c r="AS28">
        <f>'2_MechAdd_LowSeverity'!Y28</f>
        <v/>
      </c>
      <c r="AT28">
        <f>'2_MechAdd_ModSeverity'!W28</f>
        <v/>
      </c>
      <c r="AU28">
        <f>'2_MechAdd_ModSeverity'!X28</f>
        <v/>
      </c>
      <c r="AV28">
        <f>'2_MechAdd_ModSeverity'!Y28</f>
        <v/>
      </c>
      <c r="AW28">
        <f>'2_MechAdd_HighSeverity'!W28</f>
        <v/>
      </c>
      <c r="AX28">
        <f>'2_MechAdd_HighSeverity'!X28</f>
        <v/>
      </c>
      <c r="AY28">
        <f>'2_MechAdd_HighSeverity'!Y28</f>
        <v/>
      </c>
      <c r="AZ28">
        <f>'2_MechAdd_LowSeverity'!Z28</f>
        <v/>
      </c>
      <c r="BA28">
        <f>'2_MechAdd_LowSeverity'!AA28</f>
        <v/>
      </c>
      <c r="BB28">
        <f>'2_MechAdd_LowSeverity'!AB28</f>
        <v/>
      </c>
      <c r="BC28">
        <f>'2_MechAdd_LowSeverity'!AC28</f>
        <v/>
      </c>
      <c r="BD28">
        <f>'2_MechAdd_ModSeverity'!AA28</f>
        <v/>
      </c>
      <c r="BE28">
        <f>'2_MechAdd_ModSeverity'!AB28</f>
        <v/>
      </c>
      <c r="BF28">
        <f>'2_MechAdd_ModSeverity'!AC28</f>
        <v/>
      </c>
      <c r="BG28">
        <f>'2_MechAdd_HighSeverity'!AA28</f>
        <v/>
      </c>
      <c r="BH28">
        <f>'2_MechAdd_HighSeverity'!AB28</f>
        <v/>
      </c>
      <c r="BI28">
        <f>'2_MechAdd_HighSeverity'!AC28</f>
        <v/>
      </c>
    </row>
    <row r="29">
      <c r="A29" s="34">
        <f>'2_MechAdd_Script'!A29</f>
        <v/>
      </c>
      <c r="B29">
        <f>'2_MechAdd_LowSeverity'!F29</f>
        <v/>
      </c>
      <c r="C29">
        <f>'2_MechAdd_LowSeverity'!G29</f>
        <v/>
      </c>
      <c r="D29">
        <f>'2_MechAdd_LowSeverity'!H29</f>
        <v/>
      </c>
      <c r="E29">
        <f>'2_MechAdd_LowSeverity'!I29</f>
        <v/>
      </c>
      <c r="F29">
        <f>'2_MechAdd_ModSeverity'!G29</f>
        <v/>
      </c>
      <c r="G29">
        <f>'2_MechAdd_ModSeverity'!H29</f>
        <v/>
      </c>
      <c r="H29">
        <f>'2_MechAdd_ModSeverity'!I29</f>
        <v/>
      </c>
      <c r="I29">
        <f>'2_MechAdd_HighSeverity'!G29</f>
        <v/>
      </c>
      <c r="J29">
        <f>'2_MechAdd_HighSeverity'!H29</f>
        <v/>
      </c>
      <c r="K29">
        <f>'2_MechAdd_HighSeverity'!I29</f>
        <v/>
      </c>
      <c r="L29">
        <f>'2_MechAdd_LowSeverity'!J29</f>
        <v/>
      </c>
      <c r="M29">
        <f>'2_MechAdd_LowSeverity'!K29</f>
        <v/>
      </c>
      <c r="N29">
        <f>'2_MechAdd_LowSeverity'!L29</f>
        <v/>
      </c>
      <c r="O29">
        <f>'2_MechAdd_LowSeverity'!M29</f>
        <v/>
      </c>
      <c r="P29">
        <f>'2_MechAdd_ModSeverity'!K29</f>
        <v/>
      </c>
      <c r="Q29">
        <f>'2_MechAdd_ModSeverity'!L29</f>
        <v/>
      </c>
      <c r="R29">
        <f>'2_MechAdd_ModSeverity'!M29</f>
        <v/>
      </c>
      <c r="S29">
        <f>'2_MechAdd_HighSeverity'!K29</f>
        <v/>
      </c>
      <c r="T29">
        <f>'2_MechAdd_HighSeverity'!L29</f>
        <v/>
      </c>
      <c r="U29">
        <f>'2_MechAdd_HighSeverity'!M29</f>
        <v/>
      </c>
      <c r="V29">
        <f>'2_MechAdd_LowSeverity'!N29</f>
        <v/>
      </c>
      <c r="W29">
        <f>'2_MechAdd_LowSeverity'!O29</f>
        <v/>
      </c>
      <c r="X29">
        <f>'2_MechAdd_LowSeverity'!P29</f>
        <v/>
      </c>
      <c r="Y29">
        <f>'2_MechAdd_LowSeverity'!Q29</f>
        <v/>
      </c>
      <c r="Z29">
        <f>'2_MechAdd_ModSeverity'!O29</f>
        <v/>
      </c>
      <c r="AA29">
        <f>'2_MechAdd_ModSeverity'!P29</f>
        <v/>
      </c>
      <c r="AB29">
        <f>'2_MechAdd_ModSeverity'!Q29</f>
        <v/>
      </c>
      <c r="AC29">
        <f>'2_MechAdd_HighSeverity'!O29</f>
        <v/>
      </c>
      <c r="AD29">
        <f>'2_MechAdd_HighSeverity'!P29</f>
        <v/>
      </c>
      <c r="AE29">
        <f>'2_MechAdd_HighSeverity'!Q29</f>
        <v/>
      </c>
      <c r="AF29">
        <f>'2_MechAdd_LowSeverity'!R29</f>
        <v/>
      </c>
      <c r="AG29">
        <f>'2_MechAdd_LowSeverity'!S29</f>
        <v/>
      </c>
      <c r="AH29">
        <f>'2_MechAdd_LowSeverity'!T29</f>
        <v/>
      </c>
      <c r="AI29">
        <f>'2_MechAdd_LowSeverity'!U29</f>
        <v/>
      </c>
      <c r="AJ29">
        <f>'2_MechAdd_ModSeverity'!S29</f>
        <v/>
      </c>
      <c r="AK29">
        <f>'2_MechAdd_ModSeverity'!T29</f>
        <v/>
      </c>
      <c r="AL29">
        <f>'2_MechAdd_ModSeverity'!U29</f>
        <v/>
      </c>
      <c r="AM29">
        <f>'2_MechAdd_HighSeverity'!S29</f>
        <v/>
      </c>
      <c r="AN29">
        <f>'2_MechAdd_HighSeverity'!T29</f>
        <v/>
      </c>
      <c r="AO29">
        <f>'2_MechAdd_HighSeverity'!U29</f>
        <v/>
      </c>
      <c r="AP29">
        <f>'2_MechAdd_LowSeverity'!V29</f>
        <v/>
      </c>
      <c r="AQ29">
        <f>'2_MechAdd_LowSeverity'!W29</f>
        <v/>
      </c>
      <c r="AR29">
        <f>'2_MechAdd_LowSeverity'!X29</f>
        <v/>
      </c>
      <c r="AS29">
        <f>'2_MechAdd_LowSeverity'!Y29</f>
        <v/>
      </c>
      <c r="AT29">
        <f>'2_MechAdd_ModSeverity'!W29</f>
        <v/>
      </c>
      <c r="AU29">
        <f>'2_MechAdd_ModSeverity'!X29</f>
        <v/>
      </c>
      <c r="AV29">
        <f>'2_MechAdd_ModSeverity'!Y29</f>
        <v/>
      </c>
      <c r="AW29">
        <f>'2_MechAdd_HighSeverity'!W29</f>
        <v/>
      </c>
      <c r="AX29">
        <f>'2_MechAdd_HighSeverity'!X29</f>
        <v/>
      </c>
      <c r="AY29">
        <f>'2_MechAdd_HighSeverity'!Y29</f>
        <v/>
      </c>
      <c r="AZ29">
        <f>'2_MechAdd_LowSeverity'!Z29</f>
        <v/>
      </c>
      <c r="BA29">
        <f>'2_MechAdd_LowSeverity'!AA29</f>
        <v/>
      </c>
      <c r="BB29">
        <f>'2_MechAdd_LowSeverity'!AB29</f>
        <v/>
      </c>
      <c r="BC29">
        <f>'2_MechAdd_LowSeverity'!AC29</f>
        <v/>
      </c>
      <c r="BD29">
        <f>'2_MechAdd_ModSeverity'!AA29</f>
        <v/>
      </c>
      <c r="BE29">
        <f>'2_MechAdd_ModSeverity'!AB29</f>
        <v/>
      </c>
      <c r="BF29">
        <f>'2_MechAdd_ModSeverity'!AC29</f>
        <v/>
      </c>
      <c r="BG29">
        <f>'2_MechAdd_HighSeverity'!AA29</f>
        <v/>
      </c>
      <c r="BH29">
        <f>'2_MechAdd_HighSeverity'!AB29</f>
        <v/>
      </c>
      <c r="BI29">
        <f>'2_MechAdd_HighSeverity'!AC29</f>
        <v/>
      </c>
    </row>
    <row r="30">
      <c r="A30" s="34">
        <f>'2_MechAdd_Script'!A30</f>
        <v/>
      </c>
      <c r="B30">
        <f>'2_MechAdd_LowSeverity'!F30</f>
        <v/>
      </c>
      <c r="C30">
        <f>'2_MechAdd_LowSeverity'!G30</f>
        <v/>
      </c>
      <c r="D30">
        <f>'2_MechAdd_LowSeverity'!H30</f>
        <v/>
      </c>
      <c r="E30">
        <f>'2_MechAdd_LowSeverity'!I30</f>
        <v/>
      </c>
      <c r="F30">
        <f>'2_MechAdd_ModSeverity'!G30</f>
        <v/>
      </c>
      <c r="G30">
        <f>'2_MechAdd_ModSeverity'!H30</f>
        <v/>
      </c>
      <c r="H30">
        <f>'2_MechAdd_ModSeverity'!I30</f>
        <v/>
      </c>
      <c r="I30">
        <f>'2_MechAdd_HighSeverity'!G30</f>
        <v/>
      </c>
      <c r="J30">
        <f>'2_MechAdd_HighSeverity'!H30</f>
        <v/>
      </c>
      <c r="K30">
        <f>'2_MechAdd_HighSeverity'!I30</f>
        <v/>
      </c>
      <c r="L30">
        <f>'2_MechAdd_LowSeverity'!J30</f>
        <v/>
      </c>
      <c r="M30">
        <f>'2_MechAdd_LowSeverity'!K30</f>
        <v/>
      </c>
      <c r="N30">
        <f>'2_MechAdd_LowSeverity'!L30</f>
        <v/>
      </c>
      <c r="O30">
        <f>'2_MechAdd_LowSeverity'!M30</f>
        <v/>
      </c>
      <c r="P30">
        <f>'2_MechAdd_ModSeverity'!K30</f>
        <v/>
      </c>
      <c r="Q30">
        <f>'2_MechAdd_ModSeverity'!L30</f>
        <v/>
      </c>
      <c r="R30">
        <f>'2_MechAdd_ModSeverity'!M30</f>
        <v/>
      </c>
      <c r="S30">
        <f>'2_MechAdd_HighSeverity'!K30</f>
        <v/>
      </c>
      <c r="T30">
        <f>'2_MechAdd_HighSeverity'!L30</f>
        <v/>
      </c>
      <c r="U30">
        <f>'2_MechAdd_HighSeverity'!M30</f>
        <v/>
      </c>
      <c r="V30">
        <f>'2_MechAdd_LowSeverity'!N30</f>
        <v/>
      </c>
      <c r="W30">
        <f>'2_MechAdd_LowSeverity'!O30</f>
        <v/>
      </c>
      <c r="X30">
        <f>'2_MechAdd_LowSeverity'!P30</f>
        <v/>
      </c>
      <c r="Y30">
        <f>'2_MechAdd_LowSeverity'!Q30</f>
        <v/>
      </c>
      <c r="Z30">
        <f>'2_MechAdd_ModSeverity'!O30</f>
        <v/>
      </c>
      <c r="AA30">
        <f>'2_MechAdd_ModSeverity'!P30</f>
        <v/>
      </c>
      <c r="AB30">
        <f>'2_MechAdd_ModSeverity'!Q30</f>
        <v/>
      </c>
      <c r="AC30">
        <f>'2_MechAdd_HighSeverity'!O30</f>
        <v/>
      </c>
      <c r="AD30">
        <f>'2_MechAdd_HighSeverity'!P30</f>
        <v/>
      </c>
      <c r="AE30">
        <f>'2_MechAdd_HighSeverity'!Q30</f>
        <v/>
      </c>
      <c r="AF30">
        <f>'2_MechAdd_LowSeverity'!R30</f>
        <v/>
      </c>
      <c r="AG30">
        <f>'2_MechAdd_LowSeverity'!S30</f>
        <v/>
      </c>
      <c r="AH30">
        <f>'2_MechAdd_LowSeverity'!T30</f>
        <v/>
      </c>
      <c r="AI30">
        <f>'2_MechAdd_LowSeverity'!U30</f>
        <v/>
      </c>
      <c r="AJ30">
        <f>'2_MechAdd_ModSeverity'!S30</f>
        <v/>
      </c>
      <c r="AK30">
        <f>'2_MechAdd_ModSeverity'!T30</f>
        <v/>
      </c>
      <c r="AL30">
        <f>'2_MechAdd_ModSeverity'!U30</f>
        <v/>
      </c>
      <c r="AM30">
        <f>'2_MechAdd_HighSeverity'!S30</f>
        <v/>
      </c>
      <c r="AN30">
        <f>'2_MechAdd_HighSeverity'!T30</f>
        <v/>
      </c>
      <c r="AO30">
        <f>'2_MechAdd_HighSeverity'!U30</f>
        <v/>
      </c>
      <c r="AP30">
        <f>'2_MechAdd_LowSeverity'!V30</f>
        <v/>
      </c>
      <c r="AQ30">
        <f>'2_MechAdd_LowSeverity'!W30</f>
        <v/>
      </c>
      <c r="AR30">
        <f>'2_MechAdd_LowSeverity'!X30</f>
        <v/>
      </c>
      <c r="AS30">
        <f>'2_MechAdd_LowSeverity'!Y30</f>
        <v/>
      </c>
      <c r="AT30">
        <f>'2_MechAdd_ModSeverity'!W30</f>
        <v/>
      </c>
      <c r="AU30">
        <f>'2_MechAdd_ModSeverity'!X30</f>
        <v/>
      </c>
      <c r="AV30">
        <f>'2_MechAdd_ModSeverity'!Y30</f>
        <v/>
      </c>
      <c r="AW30">
        <f>'2_MechAdd_HighSeverity'!W30</f>
        <v/>
      </c>
      <c r="AX30">
        <f>'2_MechAdd_HighSeverity'!X30</f>
        <v/>
      </c>
      <c r="AY30">
        <f>'2_MechAdd_HighSeverity'!Y30</f>
        <v/>
      </c>
      <c r="AZ30">
        <f>'2_MechAdd_LowSeverity'!Z30</f>
        <v/>
      </c>
      <c r="BA30">
        <f>'2_MechAdd_LowSeverity'!AA30</f>
        <v/>
      </c>
      <c r="BB30">
        <f>'2_MechAdd_LowSeverity'!AB30</f>
        <v/>
      </c>
      <c r="BC30">
        <f>'2_MechAdd_LowSeverity'!AC30</f>
        <v/>
      </c>
      <c r="BD30">
        <f>'2_MechAdd_ModSeverity'!AA30</f>
        <v/>
      </c>
      <c r="BE30">
        <f>'2_MechAdd_ModSeverity'!AB30</f>
        <v/>
      </c>
      <c r="BF30">
        <f>'2_MechAdd_ModSeverity'!AC30</f>
        <v/>
      </c>
      <c r="BG30">
        <f>'2_MechAdd_HighSeverity'!AA30</f>
        <v/>
      </c>
      <c r="BH30">
        <f>'2_MechAdd_HighSeverity'!AB30</f>
        <v/>
      </c>
      <c r="BI30">
        <f>'2_MechAdd_HighSeverity'!AC30</f>
        <v/>
      </c>
    </row>
    <row r="31">
      <c r="A31" s="34">
        <f>'2_MechAdd_Script'!A31</f>
        <v/>
      </c>
      <c r="B31">
        <f>'2_MechAdd_LowSeverity'!F31</f>
        <v/>
      </c>
      <c r="C31">
        <f>'2_MechAdd_LowSeverity'!G31</f>
        <v/>
      </c>
      <c r="D31">
        <f>'2_MechAdd_LowSeverity'!H31</f>
        <v/>
      </c>
      <c r="E31">
        <f>'2_MechAdd_LowSeverity'!I31</f>
        <v/>
      </c>
      <c r="F31">
        <f>'2_MechAdd_ModSeverity'!G31</f>
        <v/>
      </c>
      <c r="G31">
        <f>'2_MechAdd_ModSeverity'!H31</f>
        <v/>
      </c>
      <c r="H31">
        <f>'2_MechAdd_ModSeverity'!I31</f>
        <v/>
      </c>
      <c r="I31">
        <f>'2_MechAdd_HighSeverity'!G31</f>
        <v/>
      </c>
      <c r="J31">
        <f>'2_MechAdd_HighSeverity'!H31</f>
        <v/>
      </c>
      <c r="K31">
        <f>'2_MechAdd_HighSeverity'!I31</f>
        <v/>
      </c>
      <c r="L31">
        <f>'2_MechAdd_LowSeverity'!J31</f>
        <v/>
      </c>
      <c r="M31">
        <f>'2_MechAdd_LowSeverity'!K31</f>
        <v/>
      </c>
      <c r="N31">
        <f>'2_MechAdd_LowSeverity'!L31</f>
        <v/>
      </c>
      <c r="O31">
        <f>'2_MechAdd_LowSeverity'!M31</f>
        <v/>
      </c>
      <c r="P31">
        <f>'2_MechAdd_ModSeverity'!K31</f>
        <v/>
      </c>
      <c r="Q31">
        <f>'2_MechAdd_ModSeverity'!L31</f>
        <v/>
      </c>
      <c r="R31">
        <f>'2_MechAdd_ModSeverity'!M31</f>
        <v/>
      </c>
      <c r="S31">
        <f>'2_MechAdd_HighSeverity'!K31</f>
        <v/>
      </c>
      <c r="T31">
        <f>'2_MechAdd_HighSeverity'!L31</f>
        <v/>
      </c>
      <c r="U31">
        <f>'2_MechAdd_HighSeverity'!M31</f>
        <v/>
      </c>
      <c r="V31">
        <f>'2_MechAdd_LowSeverity'!N31</f>
        <v/>
      </c>
      <c r="W31">
        <f>'2_MechAdd_LowSeverity'!O31</f>
        <v/>
      </c>
      <c r="X31">
        <f>'2_MechAdd_LowSeverity'!P31</f>
        <v/>
      </c>
      <c r="Y31">
        <f>'2_MechAdd_LowSeverity'!Q31</f>
        <v/>
      </c>
      <c r="Z31">
        <f>'2_MechAdd_ModSeverity'!O31</f>
        <v/>
      </c>
      <c r="AA31">
        <f>'2_MechAdd_ModSeverity'!P31</f>
        <v/>
      </c>
      <c r="AB31">
        <f>'2_MechAdd_ModSeverity'!Q31</f>
        <v/>
      </c>
      <c r="AC31">
        <f>'2_MechAdd_HighSeverity'!O31</f>
        <v/>
      </c>
      <c r="AD31">
        <f>'2_MechAdd_HighSeverity'!P31</f>
        <v/>
      </c>
      <c r="AE31">
        <f>'2_MechAdd_HighSeverity'!Q31</f>
        <v/>
      </c>
      <c r="AF31">
        <f>'2_MechAdd_LowSeverity'!R31</f>
        <v/>
      </c>
      <c r="AG31">
        <f>'2_MechAdd_LowSeverity'!S31</f>
        <v/>
      </c>
      <c r="AH31">
        <f>'2_MechAdd_LowSeverity'!T31</f>
        <v/>
      </c>
      <c r="AI31">
        <f>'2_MechAdd_LowSeverity'!U31</f>
        <v/>
      </c>
      <c r="AJ31">
        <f>'2_MechAdd_ModSeverity'!S31</f>
        <v/>
      </c>
      <c r="AK31">
        <f>'2_MechAdd_ModSeverity'!T31</f>
        <v/>
      </c>
      <c r="AL31">
        <f>'2_MechAdd_ModSeverity'!U31</f>
        <v/>
      </c>
      <c r="AM31">
        <f>'2_MechAdd_HighSeverity'!S31</f>
        <v/>
      </c>
      <c r="AN31">
        <f>'2_MechAdd_HighSeverity'!T31</f>
        <v/>
      </c>
      <c r="AO31">
        <f>'2_MechAdd_HighSeverity'!U31</f>
        <v/>
      </c>
      <c r="AP31">
        <f>'2_MechAdd_LowSeverity'!V31</f>
        <v/>
      </c>
      <c r="AQ31">
        <f>'2_MechAdd_LowSeverity'!W31</f>
        <v/>
      </c>
      <c r="AR31">
        <f>'2_MechAdd_LowSeverity'!X31</f>
        <v/>
      </c>
      <c r="AS31">
        <f>'2_MechAdd_LowSeverity'!Y31</f>
        <v/>
      </c>
      <c r="AT31">
        <f>'2_MechAdd_ModSeverity'!W31</f>
        <v/>
      </c>
      <c r="AU31">
        <f>'2_MechAdd_ModSeverity'!X31</f>
        <v/>
      </c>
      <c r="AV31">
        <f>'2_MechAdd_ModSeverity'!Y31</f>
        <v/>
      </c>
      <c r="AW31">
        <f>'2_MechAdd_HighSeverity'!W31</f>
        <v/>
      </c>
      <c r="AX31">
        <f>'2_MechAdd_HighSeverity'!X31</f>
        <v/>
      </c>
      <c r="AY31">
        <f>'2_MechAdd_HighSeverity'!Y31</f>
        <v/>
      </c>
      <c r="AZ31">
        <f>'2_MechAdd_LowSeverity'!Z31</f>
        <v/>
      </c>
      <c r="BA31">
        <f>'2_MechAdd_LowSeverity'!AA31</f>
        <v/>
      </c>
      <c r="BB31">
        <f>'2_MechAdd_LowSeverity'!AB31</f>
        <v/>
      </c>
      <c r="BC31">
        <f>'2_MechAdd_LowSeverity'!AC31</f>
        <v/>
      </c>
      <c r="BD31">
        <f>'2_MechAdd_ModSeverity'!AA31</f>
        <v/>
      </c>
      <c r="BE31">
        <f>'2_MechAdd_ModSeverity'!AB31</f>
        <v/>
      </c>
      <c r="BF31">
        <f>'2_MechAdd_ModSeverity'!AC31</f>
        <v/>
      </c>
      <c r="BG31">
        <f>'2_MechAdd_HighSeverity'!AA31</f>
        <v/>
      </c>
      <c r="BH31">
        <f>'2_MechAdd_HighSeverity'!AB31</f>
        <v/>
      </c>
      <c r="BI31">
        <f>'2_MechAdd_HighSeverity'!AC31</f>
        <v/>
      </c>
    </row>
    <row r="32">
      <c r="A32" s="34">
        <f>'2_MechAdd_Script'!A32</f>
        <v/>
      </c>
      <c r="B32">
        <f>'2_MechAdd_LowSeverity'!F32</f>
        <v/>
      </c>
      <c r="C32">
        <f>'2_MechAdd_LowSeverity'!G32</f>
        <v/>
      </c>
      <c r="D32">
        <f>'2_MechAdd_LowSeverity'!H32</f>
        <v/>
      </c>
      <c r="E32">
        <f>'2_MechAdd_LowSeverity'!I32</f>
        <v/>
      </c>
      <c r="F32">
        <f>'2_MechAdd_ModSeverity'!G32</f>
        <v/>
      </c>
      <c r="G32">
        <f>'2_MechAdd_ModSeverity'!H32</f>
        <v/>
      </c>
      <c r="H32">
        <f>'2_MechAdd_ModSeverity'!I32</f>
        <v/>
      </c>
      <c r="I32">
        <f>'2_MechAdd_HighSeverity'!G32</f>
        <v/>
      </c>
      <c r="J32">
        <f>'2_MechAdd_HighSeverity'!H32</f>
        <v/>
      </c>
      <c r="K32">
        <f>'2_MechAdd_HighSeverity'!I32</f>
        <v/>
      </c>
      <c r="L32">
        <f>'2_MechAdd_LowSeverity'!J32</f>
        <v/>
      </c>
      <c r="M32">
        <f>'2_MechAdd_LowSeverity'!K32</f>
        <v/>
      </c>
      <c r="N32">
        <f>'2_MechAdd_LowSeverity'!L32</f>
        <v/>
      </c>
      <c r="O32">
        <f>'2_MechAdd_LowSeverity'!M32</f>
        <v/>
      </c>
      <c r="P32">
        <f>'2_MechAdd_ModSeverity'!K32</f>
        <v/>
      </c>
      <c r="Q32">
        <f>'2_MechAdd_ModSeverity'!L32</f>
        <v/>
      </c>
      <c r="R32">
        <f>'2_MechAdd_ModSeverity'!M32</f>
        <v/>
      </c>
      <c r="S32">
        <f>'2_MechAdd_HighSeverity'!K32</f>
        <v/>
      </c>
      <c r="T32">
        <f>'2_MechAdd_HighSeverity'!L32</f>
        <v/>
      </c>
      <c r="U32">
        <f>'2_MechAdd_HighSeverity'!M32</f>
        <v/>
      </c>
      <c r="V32">
        <f>'2_MechAdd_LowSeverity'!N32</f>
        <v/>
      </c>
      <c r="W32">
        <f>'2_MechAdd_LowSeverity'!O32</f>
        <v/>
      </c>
      <c r="X32">
        <f>'2_MechAdd_LowSeverity'!P32</f>
        <v/>
      </c>
      <c r="Y32">
        <f>'2_MechAdd_LowSeverity'!Q32</f>
        <v/>
      </c>
      <c r="Z32">
        <f>'2_MechAdd_ModSeverity'!O32</f>
        <v/>
      </c>
      <c r="AA32">
        <f>'2_MechAdd_ModSeverity'!P32</f>
        <v/>
      </c>
      <c r="AB32">
        <f>'2_MechAdd_ModSeverity'!Q32</f>
        <v/>
      </c>
      <c r="AC32">
        <f>'2_MechAdd_HighSeverity'!O32</f>
        <v/>
      </c>
      <c r="AD32">
        <f>'2_MechAdd_HighSeverity'!P32</f>
        <v/>
      </c>
      <c r="AE32">
        <f>'2_MechAdd_HighSeverity'!Q32</f>
        <v/>
      </c>
      <c r="AF32">
        <f>'2_MechAdd_LowSeverity'!R32</f>
        <v/>
      </c>
      <c r="AG32">
        <f>'2_MechAdd_LowSeverity'!S32</f>
        <v/>
      </c>
      <c r="AH32">
        <f>'2_MechAdd_LowSeverity'!T32</f>
        <v/>
      </c>
      <c r="AI32">
        <f>'2_MechAdd_LowSeverity'!U32</f>
        <v/>
      </c>
      <c r="AJ32">
        <f>'2_MechAdd_ModSeverity'!S32</f>
        <v/>
      </c>
      <c r="AK32">
        <f>'2_MechAdd_ModSeverity'!T32</f>
        <v/>
      </c>
      <c r="AL32">
        <f>'2_MechAdd_ModSeverity'!U32</f>
        <v/>
      </c>
      <c r="AM32">
        <f>'2_MechAdd_HighSeverity'!S32</f>
        <v/>
      </c>
      <c r="AN32">
        <f>'2_MechAdd_HighSeverity'!T32</f>
        <v/>
      </c>
      <c r="AO32">
        <f>'2_MechAdd_HighSeverity'!U32</f>
        <v/>
      </c>
      <c r="AP32">
        <f>'2_MechAdd_LowSeverity'!V32</f>
        <v/>
      </c>
      <c r="AQ32">
        <f>'2_MechAdd_LowSeverity'!W32</f>
        <v/>
      </c>
      <c r="AR32">
        <f>'2_MechAdd_LowSeverity'!X32</f>
        <v/>
      </c>
      <c r="AS32">
        <f>'2_MechAdd_LowSeverity'!Y32</f>
        <v/>
      </c>
      <c r="AT32">
        <f>'2_MechAdd_ModSeverity'!W32</f>
        <v/>
      </c>
      <c r="AU32">
        <f>'2_MechAdd_ModSeverity'!X32</f>
        <v/>
      </c>
      <c r="AV32">
        <f>'2_MechAdd_ModSeverity'!Y32</f>
        <v/>
      </c>
      <c r="AW32">
        <f>'2_MechAdd_HighSeverity'!W32</f>
        <v/>
      </c>
      <c r="AX32">
        <f>'2_MechAdd_HighSeverity'!X32</f>
        <v/>
      </c>
      <c r="AY32">
        <f>'2_MechAdd_HighSeverity'!Y32</f>
        <v/>
      </c>
      <c r="AZ32">
        <f>'2_MechAdd_LowSeverity'!Z32</f>
        <v/>
      </c>
      <c r="BA32">
        <f>'2_MechAdd_LowSeverity'!AA32</f>
        <v/>
      </c>
      <c r="BB32">
        <f>'2_MechAdd_LowSeverity'!AB32</f>
        <v/>
      </c>
      <c r="BC32">
        <f>'2_MechAdd_LowSeverity'!AC32</f>
        <v/>
      </c>
      <c r="BD32">
        <f>'2_MechAdd_ModSeverity'!AA32</f>
        <v/>
      </c>
      <c r="BE32">
        <f>'2_MechAdd_ModSeverity'!AB32</f>
        <v/>
      </c>
      <c r="BF32">
        <f>'2_MechAdd_ModSeverity'!AC32</f>
        <v/>
      </c>
      <c r="BG32">
        <f>'2_MechAdd_HighSeverity'!AA32</f>
        <v/>
      </c>
      <c r="BH32">
        <f>'2_MechAdd_HighSeverity'!AB32</f>
        <v/>
      </c>
      <c r="BI32">
        <f>'2_MechAdd_HighSeverity'!AC32</f>
        <v/>
      </c>
    </row>
    <row r="33">
      <c r="A33" s="34">
        <f>'2_MechAdd_Script'!A33</f>
        <v/>
      </c>
      <c r="B33">
        <f>'2_MechAdd_LowSeverity'!F33</f>
        <v/>
      </c>
      <c r="C33">
        <f>'2_MechAdd_LowSeverity'!G33</f>
        <v/>
      </c>
      <c r="D33">
        <f>'2_MechAdd_LowSeverity'!H33</f>
        <v/>
      </c>
      <c r="E33">
        <f>'2_MechAdd_LowSeverity'!I33</f>
        <v/>
      </c>
      <c r="F33">
        <f>'2_MechAdd_ModSeverity'!G33</f>
        <v/>
      </c>
      <c r="G33">
        <f>'2_MechAdd_ModSeverity'!H33</f>
        <v/>
      </c>
      <c r="H33">
        <f>'2_MechAdd_ModSeverity'!I33</f>
        <v/>
      </c>
      <c r="I33">
        <f>'2_MechAdd_HighSeverity'!G33</f>
        <v/>
      </c>
      <c r="J33">
        <f>'2_MechAdd_HighSeverity'!H33</f>
        <v/>
      </c>
      <c r="K33">
        <f>'2_MechAdd_HighSeverity'!I33</f>
        <v/>
      </c>
      <c r="L33">
        <f>'2_MechAdd_LowSeverity'!J33</f>
        <v/>
      </c>
      <c r="M33">
        <f>'2_MechAdd_LowSeverity'!K33</f>
        <v/>
      </c>
      <c r="N33">
        <f>'2_MechAdd_LowSeverity'!L33</f>
        <v/>
      </c>
      <c r="O33">
        <f>'2_MechAdd_LowSeverity'!M33</f>
        <v/>
      </c>
      <c r="P33">
        <f>'2_MechAdd_ModSeverity'!K33</f>
        <v/>
      </c>
      <c r="Q33">
        <f>'2_MechAdd_ModSeverity'!L33</f>
        <v/>
      </c>
      <c r="R33">
        <f>'2_MechAdd_ModSeverity'!M33</f>
        <v/>
      </c>
      <c r="S33">
        <f>'2_MechAdd_HighSeverity'!K33</f>
        <v/>
      </c>
      <c r="T33">
        <f>'2_MechAdd_HighSeverity'!L33</f>
        <v/>
      </c>
      <c r="U33">
        <f>'2_MechAdd_HighSeverity'!M33</f>
        <v/>
      </c>
      <c r="V33">
        <f>'2_MechAdd_LowSeverity'!N33</f>
        <v/>
      </c>
      <c r="W33">
        <f>'2_MechAdd_LowSeverity'!O33</f>
        <v/>
      </c>
      <c r="X33">
        <f>'2_MechAdd_LowSeverity'!P33</f>
        <v/>
      </c>
      <c r="Y33">
        <f>'2_MechAdd_LowSeverity'!Q33</f>
        <v/>
      </c>
      <c r="Z33">
        <f>'2_MechAdd_ModSeverity'!O33</f>
        <v/>
      </c>
      <c r="AA33">
        <f>'2_MechAdd_ModSeverity'!P33</f>
        <v/>
      </c>
      <c r="AB33">
        <f>'2_MechAdd_ModSeverity'!Q33</f>
        <v/>
      </c>
      <c r="AC33">
        <f>'2_MechAdd_HighSeverity'!O33</f>
        <v/>
      </c>
      <c r="AD33">
        <f>'2_MechAdd_HighSeverity'!P33</f>
        <v/>
      </c>
      <c r="AE33">
        <f>'2_MechAdd_HighSeverity'!Q33</f>
        <v/>
      </c>
      <c r="AF33">
        <f>'2_MechAdd_LowSeverity'!R33</f>
        <v/>
      </c>
      <c r="AG33">
        <f>'2_MechAdd_LowSeverity'!S33</f>
        <v/>
      </c>
      <c r="AH33">
        <f>'2_MechAdd_LowSeverity'!T33</f>
        <v/>
      </c>
      <c r="AI33">
        <f>'2_MechAdd_LowSeverity'!U33</f>
        <v/>
      </c>
      <c r="AJ33">
        <f>'2_MechAdd_ModSeverity'!S33</f>
        <v/>
      </c>
      <c r="AK33">
        <f>'2_MechAdd_ModSeverity'!T33</f>
        <v/>
      </c>
      <c r="AL33">
        <f>'2_MechAdd_ModSeverity'!U33</f>
        <v/>
      </c>
      <c r="AM33">
        <f>'2_MechAdd_HighSeverity'!S33</f>
        <v/>
      </c>
      <c r="AN33">
        <f>'2_MechAdd_HighSeverity'!T33</f>
        <v/>
      </c>
      <c r="AO33">
        <f>'2_MechAdd_HighSeverity'!U33</f>
        <v/>
      </c>
      <c r="AP33">
        <f>'2_MechAdd_LowSeverity'!V33</f>
        <v/>
      </c>
      <c r="AQ33">
        <f>'2_MechAdd_LowSeverity'!W33</f>
        <v/>
      </c>
      <c r="AR33">
        <f>'2_MechAdd_LowSeverity'!X33</f>
        <v/>
      </c>
      <c r="AS33">
        <f>'2_MechAdd_LowSeverity'!Y33</f>
        <v/>
      </c>
      <c r="AT33">
        <f>'2_MechAdd_ModSeverity'!W33</f>
        <v/>
      </c>
      <c r="AU33">
        <f>'2_MechAdd_ModSeverity'!X33</f>
        <v/>
      </c>
      <c r="AV33">
        <f>'2_MechAdd_ModSeverity'!Y33</f>
        <v/>
      </c>
      <c r="AW33">
        <f>'2_MechAdd_HighSeverity'!W33</f>
        <v/>
      </c>
      <c r="AX33">
        <f>'2_MechAdd_HighSeverity'!X33</f>
        <v/>
      </c>
      <c r="AY33">
        <f>'2_MechAdd_HighSeverity'!Y33</f>
        <v/>
      </c>
      <c r="AZ33">
        <f>'2_MechAdd_LowSeverity'!Z33</f>
        <v/>
      </c>
      <c r="BA33">
        <f>'2_MechAdd_LowSeverity'!AA33</f>
        <v/>
      </c>
      <c r="BB33">
        <f>'2_MechAdd_LowSeverity'!AB33</f>
        <v/>
      </c>
      <c r="BC33">
        <f>'2_MechAdd_LowSeverity'!AC33</f>
        <v/>
      </c>
      <c r="BD33">
        <f>'2_MechAdd_ModSeverity'!AA33</f>
        <v/>
      </c>
      <c r="BE33">
        <f>'2_MechAdd_ModSeverity'!AB33</f>
        <v/>
      </c>
      <c r="BF33">
        <f>'2_MechAdd_ModSeverity'!AC33</f>
        <v/>
      </c>
      <c r="BG33">
        <f>'2_MechAdd_HighSeverity'!AA33</f>
        <v/>
      </c>
      <c r="BH33">
        <f>'2_MechAdd_HighSeverity'!AB33</f>
        <v/>
      </c>
      <c r="BI33">
        <f>'2_MechAdd_HighSeverity'!AC33</f>
        <v/>
      </c>
    </row>
    <row r="34">
      <c r="A34" s="34">
        <f>'2_MechAdd_Script'!A34</f>
        <v/>
      </c>
      <c r="B34">
        <f>'2_MechAdd_LowSeverity'!F34</f>
        <v/>
      </c>
      <c r="C34">
        <f>'2_MechAdd_LowSeverity'!G34</f>
        <v/>
      </c>
      <c r="D34">
        <f>'2_MechAdd_LowSeverity'!H34</f>
        <v/>
      </c>
      <c r="E34">
        <f>'2_MechAdd_LowSeverity'!I34</f>
        <v/>
      </c>
      <c r="F34">
        <f>'2_MechAdd_ModSeverity'!G34</f>
        <v/>
      </c>
      <c r="G34">
        <f>'2_MechAdd_ModSeverity'!H34</f>
        <v/>
      </c>
      <c r="H34">
        <f>'2_MechAdd_ModSeverity'!I34</f>
        <v/>
      </c>
      <c r="I34">
        <f>'2_MechAdd_HighSeverity'!G34</f>
        <v/>
      </c>
      <c r="J34">
        <f>'2_MechAdd_HighSeverity'!H34</f>
        <v/>
      </c>
      <c r="K34">
        <f>'2_MechAdd_HighSeverity'!I34</f>
        <v/>
      </c>
      <c r="L34">
        <f>'2_MechAdd_LowSeverity'!J34</f>
        <v/>
      </c>
      <c r="M34">
        <f>'2_MechAdd_LowSeverity'!K34</f>
        <v/>
      </c>
      <c r="N34">
        <f>'2_MechAdd_LowSeverity'!L34</f>
        <v/>
      </c>
      <c r="O34">
        <f>'2_MechAdd_LowSeverity'!M34</f>
        <v/>
      </c>
      <c r="P34">
        <f>'2_MechAdd_ModSeverity'!K34</f>
        <v/>
      </c>
      <c r="Q34">
        <f>'2_MechAdd_ModSeverity'!L34</f>
        <v/>
      </c>
      <c r="R34">
        <f>'2_MechAdd_ModSeverity'!M34</f>
        <v/>
      </c>
      <c r="S34">
        <f>'2_MechAdd_HighSeverity'!K34</f>
        <v/>
      </c>
      <c r="T34">
        <f>'2_MechAdd_HighSeverity'!L34</f>
        <v/>
      </c>
      <c r="U34">
        <f>'2_MechAdd_HighSeverity'!M34</f>
        <v/>
      </c>
      <c r="V34">
        <f>'2_MechAdd_LowSeverity'!N34</f>
        <v/>
      </c>
      <c r="W34">
        <f>'2_MechAdd_LowSeverity'!O34</f>
        <v/>
      </c>
      <c r="X34">
        <f>'2_MechAdd_LowSeverity'!P34</f>
        <v/>
      </c>
      <c r="Y34">
        <f>'2_MechAdd_LowSeverity'!Q34</f>
        <v/>
      </c>
      <c r="Z34">
        <f>'2_MechAdd_ModSeverity'!O34</f>
        <v/>
      </c>
      <c r="AA34">
        <f>'2_MechAdd_ModSeverity'!P34</f>
        <v/>
      </c>
      <c r="AB34">
        <f>'2_MechAdd_ModSeverity'!Q34</f>
        <v/>
      </c>
      <c r="AC34">
        <f>'2_MechAdd_HighSeverity'!O34</f>
        <v/>
      </c>
      <c r="AD34">
        <f>'2_MechAdd_HighSeverity'!P34</f>
        <v/>
      </c>
      <c r="AE34">
        <f>'2_MechAdd_HighSeverity'!Q34</f>
        <v/>
      </c>
      <c r="AF34">
        <f>'2_MechAdd_LowSeverity'!R34</f>
        <v/>
      </c>
      <c r="AG34">
        <f>'2_MechAdd_LowSeverity'!S34</f>
        <v/>
      </c>
      <c r="AH34">
        <f>'2_MechAdd_LowSeverity'!T34</f>
        <v/>
      </c>
      <c r="AI34">
        <f>'2_MechAdd_LowSeverity'!U34</f>
        <v/>
      </c>
      <c r="AJ34">
        <f>'2_MechAdd_ModSeverity'!S34</f>
        <v/>
      </c>
      <c r="AK34">
        <f>'2_MechAdd_ModSeverity'!T34</f>
        <v/>
      </c>
      <c r="AL34">
        <f>'2_MechAdd_ModSeverity'!U34</f>
        <v/>
      </c>
      <c r="AM34">
        <f>'2_MechAdd_HighSeverity'!S34</f>
        <v/>
      </c>
      <c r="AN34">
        <f>'2_MechAdd_HighSeverity'!T34</f>
        <v/>
      </c>
      <c r="AO34">
        <f>'2_MechAdd_HighSeverity'!U34</f>
        <v/>
      </c>
      <c r="AP34">
        <f>'2_MechAdd_LowSeverity'!V34</f>
        <v/>
      </c>
      <c r="AQ34">
        <f>'2_MechAdd_LowSeverity'!W34</f>
        <v/>
      </c>
      <c r="AR34">
        <f>'2_MechAdd_LowSeverity'!X34</f>
        <v/>
      </c>
      <c r="AS34">
        <f>'2_MechAdd_LowSeverity'!Y34</f>
        <v/>
      </c>
      <c r="AT34">
        <f>'2_MechAdd_ModSeverity'!W34</f>
        <v/>
      </c>
      <c r="AU34">
        <f>'2_MechAdd_ModSeverity'!X34</f>
        <v/>
      </c>
      <c r="AV34">
        <f>'2_MechAdd_ModSeverity'!Y34</f>
        <v/>
      </c>
      <c r="AW34">
        <f>'2_MechAdd_HighSeverity'!W34</f>
        <v/>
      </c>
      <c r="AX34">
        <f>'2_MechAdd_HighSeverity'!X34</f>
        <v/>
      </c>
      <c r="AY34">
        <f>'2_MechAdd_HighSeverity'!Y34</f>
        <v/>
      </c>
      <c r="AZ34">
        <f>'2_MechAdd_LowSeverity'!Z34</f>
        <v/>
      </c>
      <c r="BA34">
        <f>'2_MechAdd_LowSeverity'!AA34</f>
        <v/>
      </c>
      <c r="BB34">
        <f>'2_MechAdd_LowSeverity'!AB34</f>
        <v/>
      </c>
      <c r="BC34">
        <f>'2_MechAdd_LowSeverity'!AC34</f>
        <v/>
      </c>
      <c r="BD34">
        <f>'2_MechAdd_ModSeverity'!AA34</f>
        <v/>
      </c>
      <c r="BE34">
        <f>'2_MechAdd_ModSeverity'!AB34</f>
        <v/>
      </c>
      <c r="BF34">
        <f>'2_MechAdd_ModSeverity'!AC34</f>
        <v/>
      </c>
      <c r="BG34">
        <f>'2_MechAdd_HighSeverity'!AA34</f>
        <v/>
      </c>
      <c r="BH34">
        <f>'2_MechAdd_HighSeverity'!AB34</f>
        <v/>
      </c>
      <c r="BI34">
        <f>'2_MechAdd_HighSeverity'!AC34</f>
        <v/>
      </c>
    </row>
    <row r="35">
      <c r="A35" s="34">
        <f>'2_MechAdd_Script'!A35</f>
        <v/>
      </c>
      <c r="B35">
        <f>'2_MechAdd_LowSeverity'!F35</f>
        <v/>
      </c>
      <c r="C35">
        <f>'2_MechAdd_LowSeverity'!G35</f>
        <v/>
      </c>
      <c r="D35">
        <f>'2_MechAdd_LowSeverity'!H35</f>
        <v/>
      </c>
      <c r="E35">
        <f>'2_MechAdd_LowSeverity'!I35</f>
        <v/>
      </c>
      <c r="F35">
        <f>'2_MechAdd_ModSeverity'!G35</f>
        <v/>
      </c>
      <c r="G35">
        <f>'2_MechAdd_ModSeverity'!H35</f>
        <v/>
      </c>
      <c r="H35">
        <f>'2_MechAdd_ModSeverity'!I35</f>
        <v/>
      </c>
      <c r="I35">
        <f>'2_MechAdd_HighSeverity'!G35</f>
        <v/>
      </c>
      <c r="J35">
        <f>'2_MechAdd_HighSeverity'!H35</f>
        <v/>
      </c>
      <c r="K35">
        <f>'2_MechAdd_HighSeverity'!I35</f>
        <v/>
      </c>
      <c r="L35">
        <f>'2_MechAdd_LowSeverity'!J35</f>
        <v/>
      </c>
      <c r="M35">
        <f>'2_MechAdd_LowSeverity'!K35</f>
        <v/>
      </c>
      <c r="N35">
        <f>'2_MechAdd_LowSeverity'!L35</f>
        <v/>
      </c>
      <c r="O35">
        <f>'2_MechAdd_LowSeverity'!M35</f>
        <v/>
      </c>
      <c r="P35">
        <f>'2_MechAdd_ModSeverity'!K35</f>
        <v/>
      </c>
      <c r="Q35">
        <f>'2_MechAdd_ModSeverity'!L35</f>
        <v/>
      </c>
      <c r="R35">
        <f>'2_MechAdd_ModSeverity'!M35</f>
        <v/>
      </c>
      <c r="S35">
        <f>'2_MechAdd_HighSeverity'!K35</f>
        <v/>
      </c>
      <c r="T35">
        <f>'2_MechAdd_HighSeverity'!L35</f>
        <v/>
      </c>
      <c r="U35">
        <f>'2_MechAdd_HighSeverity'!M35</f>
        <v/>
      </c>
      <c r="V35">
        <f>'2_MechAdd_LowSeverity'!N35</f>
        <v/>
      </c>
      <c r="W35">
        <f>'2_MechAdd_LowSeverity'!O35</f>
        <v/>
      </c>
      <c r="X35">
        <f>'2_MechAdd_LowSeverity'!P35</f>
        <v/>
      </c>
      <c r="Y35">
        <f>'2_MechAdd_LowSeverity'!Q35</f>
        <v/>
      </c>
      <c r="Z35">
        <f>'2_MechAdd_ModSeverity'!O35</f>
        <v/>
      </c>
      <c r="AA35">
        <f>'2_MechAdd_ModSeverity'!P35</f>
        <v/>
      </c>
      <c r="AB35">
        <f>'2_MechAdd_ModSeverity'!Q35</f>
        <v/>
      </c>
      <c r="AC35">
        <f>'2_MechAdd_HighSeverity'!O35</f>
        <v/>
      </c>
      <c r="AD35">
        <f>'2_MechAdd_HighSeverity'!P35</f>
        <v/>
      </c>
      <c r="AE35">
        <f>'2_MechAdd_HighSeverity'!Q35</f>
        <v/>
      </c>
      <c r="AF35">
        <f>'2_MechAdd_LowSeverity'!R35</f>
        <v/>
      </c>
      <c r="AG35">
        <f>'2_MechAdd_LowSeverity'!S35</f>
        <v/>
      </c>
      <c r="AH35">
        <f>'2_MechAdd_LowSeverity'!T35</f>
        <v/>
      </c>
      <c r="AI35">
        <f>'2_MechAdd_LowSeverity'!U35</f>
        <v/>
      </c>
      <c r="AJ35">
        <f>'2_MechAdd_ModSeverity'!S35</f>
        <v/>
      </c>
      <c r="AK35">
        <f>'2_MechAdd_ModSeverity'!T35</f>
        <v/>
      </c>
      <c r="AL35">
        <f>'2_MechAdd_ModSeverity'!U35</f>
        <v/>
      </c>
      <c r="AM35">
        <f>'2_MechAdd_HighSeverity'!S35</f>
        <v/>
      </c>
      <c r="AN35">
        <f>'2_MechAdd_HighSeverity'!T35</f>
        <v/>
      </c>
      <c r="AO35">
        <f>'2_MechAdd_HighSeverity'!U35</f>
        <v/>
      </c>
      <c r="AP35">
        <f>'2_MechAdd_LowSeverity'!V35</f>
        <v/>
      </c>
      <c r="AQ35">
        <f>'2_MechAdd_LowSeverity'!W35</f>
        <v/>
      </c>
      <c r="AR35">
        <f>'2_MechAdd_LowSeverity'!X35</f>
        <v/>
      </c>
      <c r="AS35">
        <f>'2_MechAdd_LowSeverity'!Y35</f>
        <v/>
      </c>
      <c r="AT35">
        <f>'2_MechAdd_ModSeverity'!W35</f>
        <v/>
      </c>
      <c r="AU35">
        <f>'2_MechAdd_ModSeverity'!X35</f>
        <v/>
      </c>
      <c r="AV35">
        <f>'2_MechAdd_ModSeverity'!Y35</f>
        <v/>
      </c>
      <c r="AW35">
        <f>'2_MechAdd_HighSeverity'!W35</f>
        <v/>
      </c>
      <c r="AX35">
        <f>'2_MechAdd_HighSeverity'!X35</f>
        <v/>
      </c>
      <c r="AY35">
        <f>'2_MechAdd_HighSeverity'!Y35</f>
        <v/>
      </c>
      <c r="AZ35">
        <f>'2_MechAdd_LowSeverity'!Z35</f>
        <v/>
      </c>
      <c r="BA35">
        <f>'2_MechAdd_LowSeverity'!AA35</f>
        <v/>
      </c>
      <c r="BB35">
        <f>'2_MechAdd_LowSeverity'!AB35</f>
        <v/>
      </c>
      <c r="BC35">
        <f>'2_MechAdd_LowSeverity'!AC35</f>
        <v/>
      </c>
      <c r="BD35">
        <f>'2_MechAdd_ModSeverity'!AA35</f>
        <v/>
      </c>
      <c r="BE35">
        <f>'2_MechAdd_ModSeverity'!AB35</f>
        <v/>
      </c>
      <c r="BF35">
        <f>'2_MechAdd_ModSeverity'!AC35</f>
        <v/>
      </c>
      <c r="BG35">
        <f>'2_MechAdd_HighSeverity'!AA35</f>
        <v/>
      </c>
      <c r="BH35">
        <f>'2_MechAdd_HighSeverity'!AB35</f>
        <v/>
      </c>
      <c r="BI35">
        <f>'2_MechAdd_HighSeverity'!AC35</f>
        <v/>
      </c>
    </row>
    <row r="36">
      <c r="A36" s="34">
        <f>'2_MechAdd_Script'!A36</f>
        <v/>
      </c>
      <c r="B36">
        <f>'2_MechAdd_LowSeverity'!F36</f>
        <v/>
      </c>
      <c r="C36">
        <f>'2_MechAdd_LowSeverity'!G36</f>
        <v/>
      </c>
      <c r="D36">
        <f>'2_MechAdd_LowSeverity'!H36</f>
        <v/>
      </c>
      <c r="E36">
        <f>'2_MechAdd_LowSeverity'!I36</f>
        <v/>
      </c>
      <c r="F36">
        <f>'2_MechAdd_ModSeverity'!G36</f>
        <v/>
      </c>
      <c r="G36">
        <f>'2_MechAdd_ModSeverity'!H36</f>
        <v/>
      </c>
      <c r="H36">
        <f>'2_MechAdd_ModSeverity'!I36</f>
        <v/>
      </c>
      <c r="I36">
        <f>'2_MechAdd_HighSeverity'!G36</f>
        <v/>
      </c>
      <c r="J36">
        <f>'2_MechAdd_HighSeverity'!H36</f>
        <v/>
      </c>
      <c r="K36">
        <f>'2_MechAdd_HighSeverity'!I36</f>
        <v/>
      </c>
      <c r="L36">
        <f>'2_MechAdd_LowSeverity'!J36</f>
        <v/>
      </c>
      <c r="M36">
        <f>'2_MechAdd_LowSeverity'!K36</f>
        <v/>
      </c>
      <c r="N36">
        <f>'2_MechAdd_LowSeverity'!L36</f>
        <v/>
      </c>
      <c r="O36">
        <f>'2_MechAdd_LowSeverity'!M36</f>
        <v/>
      </c>
      <c r="P36">
        <f>'2_MechAdd_ModSeverity'!K36</f>
        <v/>
      </c>
      <c r="Q36">
        <f>'2_MechAdd_ModSeverity'!L36</f>
        <v/>
      </c>
      <c r="R36">
        <f>'2_MechAdd_ModSeverity'!M36</f>
        <v/>
      </c>
      <c r="S36">
        <f>'2_MechAdd_HighSeverity'!K36</f>
        <v/>
      </c>
      <c r="T36">
        <f>'2_MechAdd_HighSeverity'!L36</f>
        <v/>
      </c>
      <c r="U36">
        <f>'2_MechAdd_HighSeverity'!M36</f>
        <v/>
      </c>
      <c r="V36">
        <f>'2_MechAdd_LowSeverity'!N36</f>
        <v/>
      </c>
      <c r="W36">
        <f>'2_MechAdd_LowSeverity'!O36</f>
        <v/>
      </c>
      <c r="X36">
        <f>'2_MechAdd_LowSeverity'!P36</f>
        <v/>
      </c>
      <c r="Y36">
        <f>'2_MechAdd_LowSeverity'!Q36</f>
        <v/>
      </c>
      <c r="Z36">
        <f>'2_MechAdd_ModSeverity'!O36</f>
        <v/>
      </c>
      <c r="AA36">
        <f>'2_MechAdd_ModSeverity'!P36</f>
        <v/>
      </c>
      <c r="AB36">
        <f>'2_MechAdd_ModSeverity'!Q36</f>
        <v/>
      </c>
      <c r="AC36">
        <f>'2_MechAdd_HighSeverity'!O36</f>
        <v/>
      </c>
      <c r="AD36">
        <f>'2_MechAdd_HighSeverity'!P36</f>
        <v/>
      </c>
      <c r="AE36">
        <f>'2_MechAdd_HighSeverity'!Q36</f>
        <v/>
      </c>
      <c r="AF36">
        <f>'2_MechAdd_LowSeverity'!R36</f>
        <v/>
      </c>
      <c r="AG36">
        <f>'2_MechAdd_LowSeverity'!S36</f>
        <v/>
      </c>
      <c r="AH36">
        <f>'2_MechAdd_LowSeverity'!T36</f>
        <v/>
      </c>
      <c r="AI36">
        <f>'2_MechAdd_LowSeverity'!U36</f>
        <v/>
      </c>
      <c r="AJ36">
        <f>'2_MechAdd_ModSeverity'!S36</f>
        <v/>
      </c>
      <c r="AK36">
        <f>'2_MechAdd_ModSeverity'!T36</f>
        <v/>
      </c>
      <c r="AL36">
        <f>'2_MechAdd_ModSeverity'!U36</f>
        <v/>
      </c>
      <c r="AM36">
        <f>'2_MechAdd_HighSeverity'!S36</f>
        <v/>
      </c>
      <c r="AN36">
        <f>'2_MechAdd_HighSeverity'!T36</f>
        <v/>
      </c>
      <c r="AO36">
        <f>'2_MechAdd_HighSeverity'!U36</f>
        <v/>
      </c>
      <c r="AP36">
        <f>'2_MechAdd_LowSeverity'!V36</f>
        <v/>
      </c>
      <c r="AQ36">
        <f>'2_MechAdd_LowSeverity'!W36</f>
        <v/>
      </c>
      <c r="AR36">
        <f>'2_MechAdd_LowSeverity'!X36</f>
        <v/>
      </c>
      <c r="AS36">
        <f>'2_MechAdd_LowSeverity'!Y36</f>
        <v/>
      </c>
      <c r="AT36">
        <f>'2_MechAdd_ModSeverity'!W36</f>
        <v/>
      </c>
      <c r="AU36">
        <f>'2_MechAdd_ModSeverity'!X36</f>
        <v/>
      </c>
      <c r="AV36">
        <f>'2_MechAdd_ModSeverity'!Y36</f>
        <v/>
      </c>
      <c r="AW36">
        <f>'2_MechAdd_HighSeverity'!W36</f>
        <v/>
      </c>
      <c r="AX36">
        <f>'2_MechAdd_HighSeverity'!X36</f>
        <v/>
      </c>
      <c r="AY36">
        <f>'2_MechAdd_HighSeverity'!Y36</f>
        <v/>
      </c>
      <c r="AZ36">
        <f>'2_MechAdd_LowSeverity'!Z36</f>
        <v/>
      </c>
      <c r="BA36">
        <f>'2_MechAdd_LowSeverity'!AA36</f>
        <v/>
      </c>
      <c r="BB36">
        <f>'2_MechAdd_LowSeverity'!AB36</f>
        <v/>
      </c>
      <c r="BC36">
        <f>'2_MechAdd_LowSeverity'!AC36</f>
        <v/>
      </c>
      <c r="BD36">
        <f>'2_MechAdd_ModSeverity'!AA36</f>
        <v/>
      </c>
      <c r="BE36">
        <f>'2_MechAdd_ModSeverity'!AB36</f>
        <v/>
      </c>
      <c r="BF36">
        <f>'2_MechAdd_ModSeverity'!AC36</f>
        <v/>
      </c>
      <c r="BG36">
        <f>'2_MechAdd_HighSeverity'!AA36</f>
        <v/>
      </c>
      <c r="BH36">
        <f>'2_MechAdd_HighSeverity'!AB36</f>
        <v/>
      </c>
      <c r="BI36">
        <f>'2_MechAdd_HighSeverity'!AC36</f>
        <v/>
      </c>
    </row>
    <row r="37">
      <c r="A37" s="34">
        <f>'2_MechAdd_Script'!A37</f>
        <v/>
      </c>
      <c r="B37">
        <f>'2_MechAdd_LowSeverity'!F37</f>
        <v/>
      </c>
      <c r="C37">
        <f>'2_MechAdd_LowSeverity'!G37</f>
        <v/>
      </c>
      <c r="D37">
        <f>'2_MechAdd_LowSeverity'!H37</f>
        <v/>
      </c>
      <c r="E37">
        <f>'2_MechAdd_LowSeverity'!I37</f>
        <v/>
      </c>
      <c r="F37">
        <f>'2_MechAdd_ModSeverity'!G37</f>
        <v/>
      </c>
      <c r="G37">
        <f>'2_MechAdd_ModSeverity'!H37</f>
        <v/>
      </c>
      <c r="H37">
        <f>'2_MechAdd_ModSeverity'!I37</f>
        <v/>
      </c>
      <c r="I37">
        <f>'2_MechAdd_HighSeverity'!G37</f>
        <v/>
      </c>
      <c r="J37">
        <f>'2_MechAdd_HighSeverity'!H37</f>
        <v/>
      </c>
      <c r="K37">
        <f>'2_MechAdd_HighSeverity'!I37</f>
        <v/>
      </c>
      <c r="L37">
        <f>'2_MechAdd_LowSeverity'!J37</f>
        <v/>
      </c>
      <c r="M37">
        <f>'2_MechAdd_LowSeverity'!K37</f>
        <v/>
      </c>
      <c r="N37">
        <f>'2_MechAdd_LowSeverity'!L37</f>
        <v/>
      </c>
      <c r="O37">
        <f>'2_MechAdd_LowSeverity'!M37</f>
        <v/>
      </c>
      <c r="P37">
        <f>'2_MechAdd_ModSeverity'!K37</f>
        <v/>
      </c>
      <c r="Q37">
        <f>'2_MechAdd_ModSeverity'!L37</f>
        <v/>
      </c>
      <c r="R37">
        <f>'2_MechAdd_ModSeverity'!M37</f>
        <v/>
      </c>
      <c r="S37">
        <f>'2_MechAdd_HighSeverity'!K37</f>
        <v/>
      </c>
      <c r="T37">
        <f>'2_MechAdd_HighSeverity'!L37</f>
        <v/>
      </c>
      <c r="U37">
        <f>'2_MechAdd_HighSeverity'!M37</f>
        <v/>
      </c>
      <c r="V37">
        <f>'2_MechAdd_LowSeverity'!N37</f>
        <v/>
      </c>
      <c r="W37">
        <f>'2_MechAdd_LowSeverity'!O37</f>
        <v/>
      </c>
      <c r="X37">
        <f>'2_MechAdd_LowSeverity'!P37</f>
        <v/>
      </c>
      <c r="Y37">
        <f>'2_MechAdd_LowSeverity'!Q37</f>
        <v/>
      </c>
      <c r="Z37">
        <f>'2_MechAdd_ModSeverity'!O37</f>
        <v/>
      </c>
      <c r="AA37">
        <f>'2_MechAdd_ModSeverity'!P37</f>
        <v/>
      </c>
      <c r="AB37">
        <f>'2_MechAdd_ModSeverity'!Q37</f>
        <v/>
      </c>
      <c r="AC37">
        <f>'2_MechAdd_HighSeverity'!O37</f>
        <v/>
      </c>
      <c r="AD37">
        <f>'2_MechAdd_HighSeverity'!P37</f>
        <v/>
      </c>
      <c r="AE37">
        <f>'2_MechAdd_HighSeverity'!Q37</f>
        <v/>
      </c>
      <c r="AF37">
        <f>'2_MechAdd_LowSeverity'!R37</f>
        <v/>
      </c>
      <c r="AG37">
        <f>'2_MechAdd_LowSeverity'!S37</f>
        <v/>
      </c>
      <c r="AH37">
        <f>'2_MechAdd_LowSeverity'!T37</f>
        <v/>
      </c>
      <c r="AI37">
        <f>'2_MechAdd_LowSeverity'!U37</f>
        <v/>
      </c>
      <c r="AJ37">
        <f>'2_MechAdd_ModSeverity'!S37</f>
        <v/>
      </c>
      <c r="AK37">
        <f>'2_MechAdd_ModSeverity'!T37</f>
        <v/>
      </c>
      <c r="AL37">
        <f>'2_MechAdd_ModSeverity'!U37</f>
        <v/>
      </c>
      <c r="AM37">
        <f>'2_MechAdd_HighSeverity'!S37</f>
        <v/>
      </c>
      <c r="AN37">
        <f>'2_MechAdd_HighSeverity'!T37</f>
        <v/>
      </c>
      <c r="AO37">
        <f>'2_MechAdd_HighSeverity'!U37</f>
        <v/>
      </c>
      <c r="AP37">
        <f>'2_MechAdd_LowSeverity'!V37</f>
        <v/>
      </c>
      <c r="AQ37">
        <f>'2_MechAdd_LowSeverity'!W37</f>
        <v/>
      </c>
      <c r="AR37">
        <f>'2_MechAdd_LowSeverity'!X37</f>
        <v/>
      </c>
      <c r="AS37">
        <f>'2_MechAdd_LowSeverity'!Y37</f>
        <v/>
      </c>
      <c r="AT37">
        <f>'2_MechAdd_ModSeverity'!W37</f>
        <v/>
      </c>
      <c r="AU37">
        <f>'2_MechAdd_ModSeverity'!X37</f>
        <v/>
      </c>
      <c r="AV37">
        <f>'2_MechAdd_ModSeverity'!Y37</f>
        <v/>
      </c>
      <c r="AW37">
        <f>'2_MechAdd_HighSeverity'!W37</f>
        <v/>
      </c>
      <c r="AX37">
        <f>'2_MechAdd_HighSeverity'!X37</f>
        <v/>
      </c>
      <c r="AY37">
        <f>'2_MechAdd_HighSeverity'!Y37</f>
        <v/>
      </c>
      <c r="AZ37">
        <f>'2_MechAdd_LowSeverity'!Z37</f>
        <v/>
      </c>
      <c r="BA37">
        <f>'2_MechAdd_LowSeverity'!AA37</f>
        <v/>
      </c>
      <c r="BB37">
        <f>'2_MechAdd_LowSeverity'!AB37</f>
        <v/>
      </c>
      <c r="BC37">
        <f>'2_MechAdd_LowSeverity'!AC37</f>
        <v/>
      </c>
      <c r="BD37">
        <f>'2_MechAdd_ModSeverity'!AA37</f>
        <v/>
      </c>
      <c r="BE37">
        <f>'2_MechAdd_ModSeverity'!AB37</f>
        <v/>
      </c>
      <c r="BF37">
        <f>'2_MechAdd_ModSeverity'!AC37</f>
        <v/>
      </c>
      <c r="BG37">
        <f>'2_MechAdd_HighSeverity'!AA37</f>
        <v/>
      </c>
      <c r="BH37">
        <f>'2_MechAdd_HighSeverity'!AB37</f>
        <v/>
      </c>
      <c r="BI37">
        <f>'2_MechAdd_HighSeverity'!AC37</f>
        <v/>
      </c>
    </row>
    <row r="38">
      <c r="A38" s="34">
        <f>'2_MechAdd_Script'!A38</f>
        <v/>
      </c>
      <c r="B38">
        <f>'2_MechAdd_LowSeverity'!F38</f>
        <v/>
      </c>
      <c r="C38">
        <f>'2_MechAdd_LowSeverity'!G38</f>
        <v/>
      </c>
      <c r="D38">
        <f>'2_MechAdd_LowSeverity'!H38</f>
        <v/>
      </c>
      <c r="E38">
        <f>'2_MechAdd_LowSeverity'!I38</f>
        <v/>
      </c>
      <c r="F38">
        <f>'2_MechAdd_ModSeverity'!G38</f>
        <v/>
      </c>
      <c r="G38">
        <f>'2_MechAdd_ModSeverity'!H38</f>
        <v/>
      </c>
      <c r="H38">
        <f>'2_MechAdd_ModSeverity'!I38</f>
        <v/>
      </c>
      <c r="I38">
        <f>'2_MechAdd_HighSeverity'!G38</f>
        <v/>
      </c>
      <c r="J38">
        <f>'2_MechAdd_HighSeverity'!H38</f>
        <v/>
      </c>
      <c r="K38">
        <f>'2_MechAdd_HighSeverity'!I38</f>
        <v/>
      </c>
      <c r="L38">
        <f>'2_MechAdd_LowSeverity'!J38</f>
        <v/>
      </c>
      <c r="M38">
        <f>'2_MechAdd_LowSeverity'!K38</f>
        <v/>
      </c>
      <c r="N38">
        <f>'2_MechAdd_LowSeverity'!L38</f>
        <v/>
      </c>
      <c r="O38">
        <f>'2_MechAdd_LowSeverity'!M38</f>
        <v/>
      </c>
      <c r="P38">
        <f>'2_MechAdd_ModSeverity'!K38</f>
        <v/>
      </c>
      <c r="Q38">
        <f>'2_MechAdd_ModSeverity'!L38</f>
        <v/>
      </c>
      <c r="R38">
        <f>'2_MechAdd_ModSeverity'!M38</f>
        <v/>
      </c>
      <c r="S38">
        <f>'2_MechAdd_HighSeverity'!K38</f>
        <v/>
      </c>
      <c r="T38">
        <f>'2_MechAdd_HighSeverity'!L38</f>
        <v/>
      </c>
      <c r="U38">
        <f>'2_MechAdd_HighSeverity'!M38</f>
        <v/>
      </c>
      <c r="V38">
        <f>'2_MechAdd_LowSeverity'!N38</f>
        <v/>
      </c>
      <c r="W38">
        <f>'2_MechAdd_LowSeverity'!O38</f>
        <v/>
      </c>
      <c r="X38">
        <f>'2_MechAdd_LowSeverity'!P38</f>
        <v/>
      </c>
      <c r="Y38">
        <f>'2_MechAdd_LowSeverity'!Q38</f>
        <v/>
      </c>
      <c r="Z38">
        <f>'2_MechAdd_ModSeverity'!O38</f>
        <v/>
      </c>
      <c r="AA38">
        <f>'2_MechAdd_ModSeverity'!P38</f>
        <v/>
      </c>
      <c r="AB38">
        <f>'2_MechAdd_ModSeverity'!Q38</f>
        <v/>
      </c>
      <c r="AC38">
        <f>'2_MechAdd_HighSeverity'!O38</f>
        <v/>
      </c>
      <c r="AD38">
        <f>'2_MechAdd_HighSeverity'!P38</f>
        <v/>
      </c>
      <c r="AE38">
        <f>'2_MechAdd_HighSeverity'!Q38</f>
        <v/>
      </c>
      <c r="AF38">
        <f>'2_MechAdd_LowSeverity'!R38</f>
        <v/>
      </c>
      <c r="AG38">
        <f>'2_MechAdd_LowSeverity'!S38</f>
        <v/>
      </c>
      <c r="AH38">
        <f>'2_MechAdd_LowSeverity'!T38</f>
        <v/>
      </c>
      <c r="AI38">
        <f>'2_MechAdd_LowSeverity'!U38</f>
        <v/>
      </c>
      <c r="AJ38">
        <f>'2_MechAdd_ModSeverity'!S38</f>
        <v/>
      </c>
      <c r="AK38">
        <f>'2_MechAdd_ModSeverity'!T38</f>
        <v/>
      </c>
      <c r="AL38">
        <f>'2_MechAdd_ModSeverity'!U38</f>
        <v/>
      </c>
      <c r="AM38">
        <f>'2_MechAdd_HighSeverity'!S38</f>
        <v/>
      </c>
      <c r="AN38">
        <f>'2_MechAdd_HighSeverity'!T38</f>
        <v/>
      </c>
      <c r="AO38">
        <f>'2_MechAdd_HighSeverity'!U38</f>
        <v/>
      </c>
      <c r="AP38">
        <f>'2_MechAdd_LowSeverity'!V38</f>
        <v/>
      </c>
      <c r="AQ38">
        <f>'2_MechAdd_LowSeverity'!W38</f>
        <v/>
      </c>
      <c r="AR38">
        <f>'2_MechAdd_LowSeverity'!X38</f>
        <v/>
      </c>
      <c r="AS38">
        <f>'2_MechAdd_LowSeverity'!Y38</f>
        <v/>
      </c>
      <c r="AT38">
        <f>'2_MechAdd_ModSeverity'!W38</f>
        <v/>
      </c>
      <c r="AU38">
        <f>'2_MechAdd_ModSeverity'!X38</f>
        <v/>
      </c>
      <c r="AV38">
        <f>'2_MechAdd_ModSeverity'!Y38</f>
        <v/>
      </c>
      <c r="AW38">
        <f>'2_MechAdd_HighSeverity'!W38</f>
        <v/>
      </c>
      <c r="AX38">
        <f>'2_MechAdd_HighSeverity'!X38</f>
        <v/>
      </c>
      <c r="AY38">
        <f>'2_MechAdd_HighSeverity'!Y38</f>
        <v/>
      </c>
      <c r="AZ38">
        <f>'2_MechAdd_LowSeverity'!Z38</f>
        <v/>
      </c>
      <c r="BA38">
        <f>'2_MechAdd_LowSeverity'!AA38</f>
        <v/>
      </c>
      <c r="BB38">
        <f>'2_MechAdd_LowSeverity'!AB38</f>
        <v/>
      </c>
      <c r="BC38">
        <f>'2_MechAdd_LowSeverity'!AC38</f>
        <v/>
      </c>
      <c r="BD38">
        <f>'2_MechAdd_ModSeverity'!AA38</f>
        <v/>
      </c>
      <c r="BE38">
        <f>'2_MechAdd_ModSeverity'!AB38</f>
        <v/>
      </c>
      <c r="BF38">
        <f>'2_MechAdd_ModSeverity'!AC38</f>
        <v/>
      </c>
      <c r="BG38">
        <f>'2_MechAdd_HighSeverity'!AA38</f>
        <v/>
      </c>
      <c r="BH38">
        <f>'2_MechAdd_HighSeverity'!AB38</f>
        <v/>
      </c>
      <c r="BI38">
        <f>'2_MechAdd_HighSeverity'!AC38</f>
        <v/>
      </c>
    </row>
    <row r="39">
      <c r="A39" s="34">
        <f>'2_MechAdd_Script'!A39</f>
        <v/>
      </c>
      <c r="B39">
        <f>'2_MechAdd_LowSeverity'!F39</f>
        <v/>
      </c>
      <c r="C39">
        <f>'2_MechAdd_LowSeverity'!G39</f>
        <v/>
      </c>
      <c r="D39">
        <f>'2_MechAdd_LowSeverity'!H39</f>
        <v/>
      </c>
      <c r="E39">
        <f>'2_MechAdd_LowSeverity'!I39</f>
        <v/>
      </c>
      <c r="F39">
        <f>'2_MechAdd_ModSeverity'!G39</f>
        <v/>
      </c>
      <c r="G39">
        <f>'2_MechAdd_ModSeverity'!H39</f>
        <v/>
      </c>
      <c r="H39">
        <f>'2_MechAdd_ModSeverity'!I39</f>
        <v/>
      </c>
      <c r="I39">
        <f>'2_MechAdd_HighSeverity'!G39</f>
        <v/>
      </c>
      <c r="J39">
        <f>'2_MechAdd_HighSeverity'!H39</f>
        <v/>
      </c>
      <c r="K39">
        <f>'2_MechAdd_HighSeverity'!I39</f>
        <v/>
      </c>
      <c r="L39">
        <f>'2_MechAdd_LowSeverity'!J39</f>
        <v/>
      </c>
      <c r="M39">
        <f>'2_MechAdd_LowSeverity'!K39</f>
        <v/>
      </c>
      <c r="N39">
        <f>'2_MechAdd_LowSeverity'!L39</f>
        <v/>
      </c>
      <c r="O39">
        <f>'2_MechAdd_LowSeverity'!M39</f>
        <v/>
      </c>
      <c r="P39">
        <f>'2_MechAdd_ModSeverity'!K39</f>
        <v/>
      </c>
      <c r="Q39">
        <f>'2_MechAdd_ModSeverity'!L39</f>
        <v/>
      </c>
      <c r="R39">
        <f>'2_MechAdd_ModSeverity'!M39</f>
        <v/>
      </c>
      <c r="S39">
        <f>'2_MechAdd_HighSeverity'!K39</f>
        <v/>
      </c>
      <c r="T39">
        <f>'2_MechAdd_HighSeverity'!L39</f>
        <v/>
      </c>
      <c r="U39">
        <f>'2_MechAdd_HighSeverity'!M39</f>
        <v/>
      </c>
      <c r="V39">
        <f>'2_MechAdd_LowSeverity'!N39</f>
        <v/>
      </c>
      <c r="W39">
        <f>'2_MechAdd_LowSeverity'!O39</f>
        <v/>
      </c>
      <c r="X39">
        <f>'2_MechAdd_LowSeverity'!P39</f>
        <v/>
      </c>
      <c r="Y39">
        <f>'2_MechAdd_LowSeverity'!Q39</f>
        <v/>
      </c>
      <c r="Z39">
        <f>'2_MechAdd_ModSeverity'!O39</f>
        <v/>
      </c>
      <c r="AA39">
        <f>'2_MechAdd_ModSeverity'!P39</f>
        <v/>
      </c>
      <c r="AB39">
        <f>'2_MechAdd_ModSeverity'!Q39</f>
        <v/>
      </c>
      <c r="AC39">
        <f>'2_MechAdd_HighSeverity'!O39</f>
        <v/>
      </c>
      <c r="AD39">
        <f>'2_MechAdd_HighSeverity'!P39</f>
        <v/>
      </c>
      <c r="AE39">
        <f>'2_MechAdd_HighSeverity'!Q39</f>
        <v/>
      </c>
      <c r="AF39">
        <f>'2_MechAdd_LowSeverity'!R39</f>
        <v/>
      </c>
      <c r="AG39">
        <f>'2_MechAdd_LowSeverity'!S39</f>
        <v/>
      </c>
      <c r="AH39">
        <f>'2_MechAdd_LowSeverity'!T39</f>
        <v/>
      </c>
      <c r="AI39">
        <f>'2_MechAdd_LowSeverity'!U39</f>
        <v/>
      </c>
      <c r="AJ39">
        <f>'2_MechAdd_ModSeverity'!S39</f>
        <v/>
      </c>
      <c r="AK39">
        <f>'2_MechAdd_ModSeverity'!T39</f>
        <v/>
      </c>
      <c r="AL39">
        <f>'2_MechAdd_ModSeverity'!U39</f>
        <v/>
      </c>
      <c r="AM39">
        <f>'2_MechAdd_HighSeverity'!S39</f>
        <v/>
      </c>
      <c r="AN39">
        <f>'2_MechAdd_HighSeverity'!T39</f>
        <v/>
      </c>
      <c r="AO39">
        <f>'2_MechAdd_HighSeverity'!U39</f>
        <v/>
      </c>
      <c r="AP39">
        <f>'2_MechAdd_LowSeverity'!V39</f>
        <v/>
      </c>
      <c r="AQ39">
        <f>'2_MechAdd_LowSeverity'!W39</f>
        <v/>
      </c>
      <c r="AR39">
        <f>'2_MechAdd_LowSeverity'!X39</f>
        <v/>
      </c>
      <c r="AS39">
        <f>'2_MechAdd_LowSeverity'!Y39</f>
        <v/>
      </c>
      <c r="AT39">
        <f>'2_MechAdd_ModSeverity'!W39</f>
        <v/>
      </c>
      <c r="AU39">
        <f>'2_MechAdd_ModSeverity'!X39</f>
        <v/>
      </c>
      <c r="AV39">
        <f>'2_MechAdd_ModSeverity'!Y39</f>
        <v/>
      </c>
      <c r="AW39">
        <f>'2_MechAdd_HighSeverity'!W39</f>
        <v/>
      </c>
      <c r="AX39">
        <f>'2_MechAdd_HighSeverity'!X39</f>
        <v/>
      </c>
      <c r="AY39">
        <f>'2_MechAdd_HighSeverity'!Y39</f>
        <v/>
      </c>
      <c r="AZ39">
        <f>'2_MechAdd_LowSeverity'!Z39</f>
        <v/>
      </c>
      <c r="BA39">
        <f>'2_MechAdd_LowSeverity'!AA39</f>
        <v/>
      </c>
      <c r="BB39">
        <f>'2_MechAdd_LowSeverity'!AB39</f>
        <v/>
      </c>
      <c r="BC39">
        <f>'2_MechAdd_LowSeverity'!AC39</f>
        <v/>
      </c>
      <c r="BD39">
        <f>'2_MechAdd_ModSeverity'!AA39</f>
        <v/>
      </c>
      <c r="BE39">
        <f>'2_MechAdd_ModSeverity'!AB39</f>
        <v/>
      </c>
      <c r="BF39">
        <f>'2_MechAdd_ModSeverity'!AC39</f>
        <v/>
      </c>
      <c r="BG39">
        <f>'2_MechAdd_HighSeverity'!AA39</f>
        <v/>
      </c>
      <c r="BH39">
        <f>'2_MechAdd_HighSeverity'!AB39</f>
        <v/>
      </c>
      <c r="BI39">
        <f>'2_MechAdd_HighSeverity'!AC39</f>
        <v/>
      </c>
    </row>
    <row r="40">
      <c r="A40" s="34">
        <f>'2_MechAdd_Script'!A40</f>
        <v/>
      </c>
      <c r="B40">
        <f>'2_MechAdd_LowSeverity'!F40</f>
        <v/>
      </c>
      <c r="C40">
        <f>'2_MechAdd_LowSeverity'!G40</f>
        <v/>
      </c>
      <c r="D40">
        <f>'2_MechAdd_LowSeverity'!H40</f>
        <v/>
      </c>
      <c r="E40">
        <f>'2_MechAdd_LowSeverity'!I40</f>
        <v/>
      </c>
      <c r="F40">
        <f>'2_MechAdd_ModSeverity'!G40</f>
        <v/>
      </c>
      <c r="G40">
        <f>'2_MechAdd_ModSeverity'!H40</f>
        <v/>
      </c>
      <c r="H40">
        <f>'2_MechAdd_ModSeverity'!I40</f>
        <v/>
      </c>
      <c r="I40">
        <f>'2_MechAdd_HighSeverity'!G40</f>
        <v/>
      </c>
      <c r="J40">
        <f>'2_MechAdd_HighSeverity'!H40</f>
        <v/>
      </c>
      <c r="K40">
        <f>'2_MechAdd_HighSeverity'!I40</f>
        <v/>
      </c>
      <c r="L40">
        <f>'2_MechAdd_LowSeverity'!J40</f>
        <v/>
      </c>
      <c r="M40">
        <f>'2_MechAdd_LowSeverity'!K40</f>
        <v/>
      </c>
      <c r="N40">
        <f>'2_MechAdd_LowSeverity'!L40</f>
        <v/>
      </c>
      <c r="O40">
        <f>'2_MechAdd_LowSeverity'!M40</f>
        <v/>
      </c>
      <c r="P40">
        <f>'2_MechAdd_ModSeverity'!K40</f>
        <v/>
      </c>
      <c r="Q40">
        <f>'2_MechAdd_ModSeverity'!L40</f>
        <v/>
      </c>
      <c r="R40">
        <f>'2_MechAdd_ModSeverity'!M40</f>
        <v/>
      </c>
      <c r="S40">
        <f>'2_MechAdd_HighSeverity'!K40</f>
        <v/>
      </c>
      <c r="T40">
        <f>'2_MechAdd_HighSeverity'!L40</f>
        <v/>
      </c>
      <c r="U40">
        <f>'2_MechAdd_HighSeverity'!M40</f>
        <v/>
      </c>
      <c r="V40">
        <f>'2_MechAdd_LowSeverity'!N40</f>
        <v/>
      </c>
      <c r="W40">
        <f>'2_MechAdd_LowSeverity'!O40</f>
        <v/>
      </c>
      <c r="X40">
        <f>'2_MechAdd_LowSeverity'!P40</f>
        <v/>
      </c>
      <c r="Y40">
        <f>'2_MechAdd_LowSeverity'!Q40</f>
        <v/>
      </c>
      <c r="Z40">
        <f>'2_MechAdd_ModSeverity'!O40</f>
        <v/>
      </c>
      <c r="AA40">
        <f>'2_MechAdd_ModSeverity'!P40</f>
        <v/>
      </c>
      <c r="AB40">
        <f>'2_MechAdd_ModSeverity'!Q40</f>
        <v/>
      </c>
      <c r="AC40">
        <f>'2_MechAdd_HighSeverity'!O40</f>
        <v/>
      </c>
      <c r="AD40">
        <f>'2_MechAdd_HighSeverity'!P40</f>
        <v/>
      </c>
      <c r="AE40">
        <f>'2_MechAdd_HighSeverity'!Q40</f>
        <v/>
      </c>
      <c r="AF40">
        <f>'2_MechAdd_LowSeverity'!R40</f>
        <v/>
      </c>
      <c r="AG40">
        <f>'2_MechAdd_LowSeverity'!S40</f>
        <v/>
      </c>
      <c r="AH40">
        <f>'2_MechAdd_LowSeverity'!T40</f>
        <v/>
      </c>
      <c r="AI40">
        <f>'2_MechAdd_LowSeverity'!U40</f>
        <v/>
      </c>
      <c r="AJ40">
        <f>'2_MechAdd_ModSeverity'!S40</f>
        <v/>
      </c>
      <c r="AK40">
        <f>'2_MechAdd_ModSeverity'!T40</f>
        <v/>
      </c>
      <c r="AL40">
        <f>'2_MechAdd_ModSeverity'!U40</f>
        <v/>
      </c>
      <c r="AM40">
        <f>'2_MechAdd_HighSeverity'!S40</f>
        <v/>
      </c>
      <c r="AN40">
        <f>'2_MechAdd_HighSeverity'!T40</f>
        <v/>
      </c>
      <c r="AO40">
        <f>'2_MechAdd_HighSeverity'!U40</f>
        <v/>
      </c>
      <c r="AP40">
        <f>'2_MechAdd_LowSeverity'!V40</f>
        <v/>
      </c>
      <c r="AQ40">
        <f>'2_MechAdd_LowSeverity'!W40</f>
        <v/>
      </c>
      <c r="AR40">
        <f>'2_MechAdd_LowSeverity'!X40</f>
        <v/>
      </c>
      <c r="AS40">
        <f>'2_MechAdd_LowSeverity'!Y40</f>
        <v/>
      </c>
      <c r="AT40">
        <f>'2_MechAdd_ModSeverity'!W40</f>
        <v/>
      </c>
      <c r="AU40">
        <f>'2_MechAdd_ModSeverity'!X40</f>
        <v/>
      </c>
      <c r="AV40">
        <f>'2_MechAdd_ModSeverity'!Y40</f>
        <v/>
      </c>
      <c r="AW40">
        <f>'2_MechAdd_HighSeverity'!W40</f>
        <v/>
      </c>
      <c r="AX40">
        <f>'2_MechAdd_HighSeverity'!X40</f>
        <v/>
      </c>
      <c r="AY40">
        <f>'2_MechAdd_HighSeverity'!Y40</f>
        <v/>
      </c>
      <c r="AZ40">
        <f>'2_MechAdd_LowSeverity'!Z40</f>
        <v/>
      </c>
      <c r="BA40">
        <f>'2_MechAdd_LowSeverity'!AA40</f>
        <v/>
      </c>
      <c r="BB40">
        <f>'2_MechAdd_LowSeverity'!AB40</f>
        <v/>
      </c>
      <c r="BC40">
        <f>'2_MechAdd_LowSeverity'!AC40</f>
        <v/>
      </c>
      <c r="BD40">
        <f>'2_MechAdd_ModSeverity'!AA40</f>
        <v/>
      </c>
      <c r="BE40">
        <f>'2_MechAdd_ModSeverity'!AB40</f>
        <v/>
      </c>
      <c r="BF40">
        <f>'2_MechAdd_ModSeverity'!AC40</f>
        <v/>
      </c>
      <c r="BG40">
        <f>'2_MechAdd_HighSeverity'!AA40</f>
        <v/>
      </c>
      <c r="BH40">
        <f>'2_MechAdd_HighSeverity'!AB40</f>
        <v/>
      </c>
      <c r="BI40">
        <f>'2_MechAdd_HighSeverity'!AC40</f>
        <v/>
      </c>
    </row>
    <row r="41">
      <c r="A41" s="34">
        <f>'2_MechAdd_Script'!A41</f>
        <v/>
      </c>
      <c r="B41">
        <f>'2_MechAdd_LowSeverity'!F41</f>
        <v/>
      </c>
      <c r="C41">
        <f>'2_MechAdd_LowSeverity'!G41</f>
        <v/>
      </c>
      <c r="D41">
        <f>'2_MechAdd_LowSeverity'!H41</f>
        <v/>
      </c>
      <c r="E41">
        <f>'2_MechAdd_LowSeverity'!I41</f>
        <v/>
      </c>
      <c r="F41">
        <f>'2_MechAdd_ModSeverity'!G41</f>
        <v/>
      </c>
      <c r="G41">
        <f>'2_MechAdd_ModSeverity'!H41</f>
        <v/>
      </c>
      <c r="H41">
        <f>'2_MechAdd_ModSeverity'!I41</f>
        <v/>
      </c>
      <c r="I41">
        <f>'2_MechAdd_HighSeverity'!G41</f>
        <v/>
      </c>
      <c r="J41">
        <f>'2_MechAdd_HighSeverity'!H41</f>
        <v/>
      </c>
      <c r="K41">
        <f>'2_MechAdd_HighSeverity'!I41</f>
        <v/>
      </c>
      <c r="L41">
        <f>'2_MechAdd_LowSeverity'!J41</f>
        <v/>
      </c>
      <c r="M41">
        <f>'2_MechAdd_LowSeverity'!K41</f>
        <v/>
      </c>
      <c r="N41">
        <f>'2_MechAdd_LowSeverity'!L41</f>
        <v/>
      </c>
      <c r="O41">
        <f>'2_MechAdd_LowSeverity'!M41</f>
        <v/>
      </c>
      <c r="P41">
        <f>'2_MechAdd_ModSeverity'!K41</f>
        <v/>
      </c>
      <c r="Q41">
        <f>'2_MechAdd_ModSeverity'!L41</f>
        <v/>
      </c>
      <c r="R41">
        <f>'2_MechAdd_ModSeverity'!M41</f>
        <v/>
      </c>
      <c r="S41">
        <f>'2_MechAdd_HighSeverity'!K41</f>
        <v/>
      </c>
      <c r="T41">
        <f>'2_MechAdd_HighSeverity'!L41</f>
        <v/>
      </c>
      <c r="U41">
        <f>'2_MechAdd_HighSeverity'!M41</f>
        <v/>
      </c>
      <c r="V41">
        <f>'2_MechAdd_LowSeverity'!N41</f>
        <v/>
      </c>
      <c r="W41">
        <f>'2_MechAdd_LowSeverity'!O41</f>
        <v/>
      </c>
      <c r="X41">
        <f>'2_MechAdd_LowSeverity'!P41</f>
        <v/>
      </c>
      <c r="Y41">
        <f>'2_MechAdd_LowSeverity'!Q41</f>
        <v/>
      </c>
      <c r="Z41">
        <f>'2_MechAdd_ModSeverity'!O41</f>
        <v/>
      </c>
      <c r="AA41">
        <f>'2_MechAdd_ModSeverity'!P41</f>
        <v/>
      </c>
      <c r="AB41">
        <f>'2_MechAdd_ModSeverity'!Q41</f>
        <v/>
      </c>
      <c r="AC41">
        <f>'2_MechAdd_HighSeverity'!O41</f>
        <v/>
      </c>
      <c r="AD41">
        <f>'2_MechAdd_HighSeverity'!P41</f>
        <v/>
      </c>
      <c r="AE41">
        <f>'2_MechAdd_HighSeverity'!Q41</f>
        <v/>
      </c>
      <c r="AF41">
        <f>'2_MechAdd_LowSeverity'!R41</f>
        <v/>
      </c>
      <c r="AG41">
        <f>'2_MechAdd_LowSeverity'!S41</f>
        <v/>
      </c>
      <c r="AH41">
        <f>'2_MechAdd_LowSeverity'!T41</f>
        <v/>
      </c>
      <c r="AI41">
        <f>'2_MechAdd_LowSeverity'!U41</f>
        <v/>
      </c>
      <c r="AJ41">
        <f>'2_MechAdd_ModSeverity'!S41</f>
        <v/>
      </c>
      <c r="AK41">
        <f>'2_MechAdd_ModSeverity'!T41</f>
        <v/>
      </c>
      <c r="AL41">
        <f>'2_MechAdd_ModSeverity'!U41</f>
        <v/>
      </c>
      <c r="AM41">
        <f>'2_MechAdd_HighSeverity'!S41</f>
        <v/>
      </c>
      <c r="AN41">
        <f>'2_MechAdd_HighSeverity'!T41</f>
        <v/>
      </c>
      <c r="AO41">
        <f>'2_MechAdd_HighSeverity'!U41</f>
        <v/>
      </c>
      <c r="AP41">
        <f>'2_MechAdd_LowSeverity'!V41</f>
        <v/>
      </c>
      <c r="AQ41">
        <f>'2_MechAdd_LowSeverity'!W41</f>
        <v/>
      </c>
      <c r="AR41">
        <f>'2_MechAdd_LowSeverity'!X41</f>
        <v/>
      </c>
      <c r="AS41">
        <f>'2_MechAdd_LowSeverity'!Y41</f>
        <v/>
      </c>
      <c r="AT41">
        <f>'2_MechAdd_ModSeverity'!W41</f>
        <v/>
      </c>
      <c r="AU41">
        <f>'2_MechAdd_ModSeverity'!X41</f>
        <v/>
      </c>
      <c r="AV41">
        <f>'2_MechAdd_ModSeverity'!Y41</f>
        <v/>
      </c>
      <c r="AW41">
        <f>'2_MechAdd_HighSeverity'!W41</f>
        <v/>
      </c>
      <c r="AX41">
        <f>'2_MechAdd_HighSeverity'!X41</f>
        <v/>
      </c>
      <c r="AY41">
        <f>'2_MechAdd_HighSeverity'!Y41</f>
        <v/>
      </c>
      <c r="AZ41">
        <f>'2_MechAdd_LowSeverity'!Z41</f>
        <v/>
      </c>
      <c r="BA41">
        <f>'2_MechAdd_LowSeverity'!AA41</f>
        <v/>
      </c>
      <c r="BB41">
        <f>'2_MechAdd_LowSeverity'!AB41</f>
        <v/>
      </c>
      <c r="BC41">
        <f>'2_MechAdd_LowSeverity'!AC41</f>
        <v/>
      </c>
      <c r="BD41">
        <f>'2_MechAdd_ModSeverity'!AA41</f>
        <v/>
      </c>
      <c r="BE41">
        <f>'2_MechAdd_ModSeverity'!AB41</f>
        <v/>
      </c>
      <c r="BF41">
        <f>'2_MechAdd_ModSeverity'!AC41</f>
        <v/>
      </c>
      <c r="BG41">
        <f>'2_MechAdd_HighSeverity'!AA41</f>
        <v/>
      </c>
      <c r="BH41">
        <f>'2_MechAdd_HighSeverity'!AB41</f>
        <v/>
      </c>
      <c r="BI41">
        <f>'2_MechAdd_HighSeverity'!AC41</f>
        <v/>
      </c>
    </row>
    <row r="42">
      <c r="A42" s="34">
        <f>'2_MechAdd_Script'!A42</f>
        <v/>
      </c>
      <c r="B42">
        <f>'2_MechAdd_LowSeverity'!F42</f>
        <v/>
      </c>
      <c r="C42">
        <f>'2_MechAdd_LowSeverity'!G42</f>
        <v/>
      </c>
      <c r="D42">
        <f>'2_MechAdd_LowSeverity'!H42</f>
        <v/>
      </c>
      <c r="E42">
        <f>'2_MechAdd_LowSeverity'!I42</f>
        <v/>
      </c>
      <c r="F42">
        <f>'2_MechAdd_ModSeverity'!G42</f>
        <v/>
      </c>
      <c r="G42">
        <f>'2_MechAdd_ModSeverity'!H42</f>
        <v/>
      </c>
      <c r="H42">
        <f>'2_MechAdd_ModSeverity'!I42</f>
        <v/>
      </c>
      <c r="I42">
        <f>'2_MechAdd_HighSeverity'!G42</f>
        <v/>
      </c>
      <c r="J42">
        <f>'2_MechAdd_HighSeverity'!H42</f>
        <v/>
      </c>
      <c r="K42">
        <f>'2_MechAdd_HighSeverity'!I42</f>
        <v/>
      </c>
      <c r="L42">
        <f>'2_MechAdd_LowSeverity'!J42</f>
        <v/>
      </c>
      <c r="M42">
        <f>'2_MechAdd_LowSeverity'!K42</f>
        <v/>
      </c>
      <c r="N42">
        <f>'2_MechAdd_LowSeverity'!L42</f>
        <v/>
      </c>
      <c r="O42">
        <f>'2_MechAdd_LowSeverity'!M42</f>
        <v/>
      </c>
      <c r="P42">
        <f>'2_MechAdd_ModSeverity'!K42</f>
        <v/>
      </c>
      <c r="Q42">
        <f>'2_MechAdd_ModSeverity'!L42</f>
        <v/>
      </c>
      <c r="R42">
        <f>'2_MechAdd_ModSeverity'!M42</f>
        <v/>
      </c>
      <c r="S42">
        <f>'2_MechAdd_HighSeverity'!K42</f>
        <v/>
      </c>
      <c r="T42">
        <f>'2_MechAdd_HighSeverity'!L42</f>
        <v/>
      </c>
      <c r="U42">
        <f>'2_MechAdd_HighSeverity'!M42</f>
        <v/>
      </c>
      <c r="V42">
        <f>'2_MechAdd_LowSeverity'!N42</f>
        <v/>
      </c>
      <c r="W42">
        <f>'2_MechAdd_LowSeverity'!O42</f>
        <v/>
      </c>
      <c r="X42">
        <f>'2_MechAdd_LowSeverity'!P42</f>
        <v/>
      </c>
      <c r="Y42">
        <f>'2_MechAdd_LowSeverity'!Q42</f>
        <v/>
      </c>
      <c r="Z42">
        <f>'2_MechAdd_ModSeverity'!O42</f>
        <v/>
      </c>
      <c r="AA42">
        <f>'2_MechAdd_ModSeverity'!P42</f>
        <v/>
      </c>
      <c r="AB42">
        <f>'2_MechAdd_ModSeverity'!Q42</f>
        <v/>
      </c>
      <c r="AC42">
        <f>'2_MechAdd_HighSeverity'!O42</f>
        <v/>
      </c>
      <c r="AD42">
        <f>'2_MechAdd_HighSeverity'!P42</f>
        <v/>
      </c>
      <c r="AE42">
        <f>'2_MechAdd_HighSeverity'!Q42</f>
        <v/>
      </c>
      <c r="AF42">
        <f>'2_MechAdd_LowSeverity'!R42</f>
        <v/>
      </c>
      <c r="AG42">
        <f>'2_MechAdd_LowSeverity'!S42</f>
        <v/>
      </c>
      <c r="AH42">
        <f>'2_MechAdd_LowSeverity'!T42</f>
        <v/>
      </c>
      <c r="AI42">
        <f>'2_MechAdd_LowSeverity'!U42</f>
        <v/>
      </c>
      <c r="AJ42">
        <f>'2_MechAdd_ModSeverity'!S42</f>
        <v/>
      </c>
      <c r="AK42">
        <f>'2_MechAdd_ModSeverity'!T42</f>
        <v/>
      </c>
      <c r="AL42">
        <f>'2_MechAdd_ModSeverity'!U42</f>
        <v/>
      </c>
      <c r="AM42">
        <f>'2_MechAdd_HighSeverity'!S42</f>
        <v/>
      </c>
      <c r="AN42">
        <f>'2_MechAdd_HighSeverity'!T42</f>
        <v/>
      </c>
      <c r="AO42">
        <f>'2_MechAdd_HighSeverity'!U42</f>
        <v/>
      </c>
      <c r="AP42">
        <f>'2_MechAdd_LowSeverity'!V42</f>
        <v/>
      </c>
      <c r="AQ42">
        <f>'2_MechAdd_LowSeverity'!W42</f>
        <v/>
      </c>
      <c r="AR42">
        <f>'2_MechAdd_LowSeverity'!X42</f>
        <v/>
      </c>
      <c r="AS42">
        <f>'2_MechAdd_LowSeverity'!Y42</f>
        <v/>
      </c>
      <c r="AT42">
        <f>'2_MechAdd_ModSeverity'!W42</f>
        <v/>
      </c>
      <c r="AU42">
        <f>'2_MechAdd_ModSeverity'!X42</f>
        <v/>
      </c>
      <c r="AV42">
        <f>'2_MechAdd_ModSeverity'!Y42</f>
        <v/>
      </c>
      <c r="AW42">
        <f>'2_MechAdd_HighSeverity'!W42</f>
        <v/>
      </c>
      <c r="AX42">
        <f>'2_MechAdd_HighSeverity'!X42</f>
        <v/>
      </c>
      <c r="AY42">
        <f>'2_MechAdd_HighSeverity'!Y42</f>
        <v/>
      </c>
      <c r="AZ42">
        <f>'2_MechAdd_LowSeverity'!Z42</f>
        <v/>
      </c>
      <c r="BA42">
        <f>'2_MechAdd_LowSeverity'!AA42</f>
        <v/>
      </c>
      <c r="BB42">
        <f>'2_MechAdd_LowSeverity'!AB42</f>
        <v/>
      </c>
      <c r="BC42">
        <f>'2_MechAdd_LowSeverity'!AC42</f>
        <v/>
      </c>
      <c r="BD42">
        <f>'2_MechAdd_ModSeverity'!AA42</f>
        <v/>
      </c>
      <c r="BE42">
        <f>'2_MechAdd_ModSeverity'!AB42</f>
        <v/>
      </c>
      <c r="BF42">
        <f>'2_MechAdd_ModSeverity'!AC42</f>
        <v/>
      </c>
      <c r="BG42">
        <f>'2_MechAdd_HighSeverity'!AA42</f>
        <v/>
      </c>
      <c r="BH42">
        <f>'2_MechAdd_HighSeverity'!AB42</f>
        <v/>
      </c>
      <c r="BI42">
        <f>'2_MechAdd_HighSeverity'!AC42</f>
        <v/>
      </c>
    </row>
    <row r="43">
      <c r="A43" s="34">
        <f>'2_MechAdd_Script'!A43</f>
        <v/>
      </c>
      <c r="B43">
        <f>'2_MechAdd_LowSeverity'!F43</f>
        <v/>
      </c>
      <c r="C43">
        <f>'2_MechAdd_LowSeverity'!G43</f>
        <v/>
      </c>
      <c r="D43">
        <f>'2_MechAdd_LowSeverity'!H43</f>
        <v/>
      </c>
      <c r="E43">
        <f>'2_MechAdd_LowSeverity'!I43</f>
        <v/>
      </c>
      <c r="F43">
        <f>'2_MechAdd_ModSeverity'!G43</f>
        <v/>
      </c>
      <c r="G43">
        <f>'2_MechAdd_ModSeverity'!H43</f>
        <v/>
      </c>
      <c r="H43">
        <f>'2_MechAdd_ModSeverity'!I43</f>
        <v/>
      </c>
      <c r="I43">
        <f>'2_MechAdd_HighSeverity'!G43</f>
        <v/>
      </c>
      <c r="J43">
        <f>'2_MechAdd_HighSeverity'!H43</f>
        <v/>
      </c>
      <c r="K43">
        <f>'2_MechAdd_HighSeverity'!I43</f>
        <v/>
      </c>
      <c r="L43">
        <f>'2_MechAdd_LowSeverity'!J43</f>
        <v/>
      </c>
      <c r="M43">
        <f>'2_MechAdd_LowSeverity'!K43</f>
        <v/>
      </c>
      <c r="N43">
        <f>'2_MechAdd_LowSeverity'!L43</f>
        <v/>
      </c>
      <c r="O43">
        <f>'2_MechAdd_LowSeverity'!M43</f>
        <v/>
      </c>
      <c r="P43">
        <f>'2_MechAdd_ModSeverity'!K43</f>
        <v/>
      </c>
      <c r="Q43">
        <f>'2_MechAdd_ModSeverity'!L43</f>
        <v/>
      </c>
      <c r="R43">
        <f>'2_MechAdd_ModSeverity'!M43</f>
        <v/>
      </c>
      <c r="S43">
        <f>'2_MechAdd_HighSeverity'!K43</f>
        <v/>
      </c>
      <c r="T43">
        <f>'2_MechAdd_HighSeverity'!L43</f>
        <v/>
      </c>
      <c r="U43">
        <f>'2_MechAdd_HighSeverity'!M43</f>
        <v/>
      </c>
      <c r="V43">
        <f>'2_MechAdd_LowSeverity'!N43</f>
        <v/>
      </c>
      <c r="W43">
        <f>'2_MechAdd_LowSeverity'!O43</f>
        <v/>
      </c>
      <c r="X43">
        <f>'2_MechAdd_LowSeverity'!P43</f>
        <v/>
      </c>
      <c r="Y43">
        <f>'2_MechAdd_LowSeverity'!Q43</f>
        <v/>
      </c>
      <c r="Z43">
        <f>'2_MechAdd_ModSeverity'!O43</f>
        <v/>
      </c>
      <c r="AA43">
        <f>'2_MechAdd_ModSeverity'!P43</f>
        <v/>
      </c>
      <c r="AB43">
        <f>'2_MechAdd_ModSeverity'!Q43</f>
        <v/>
      </c>
      <c r="AC43">
        <f>'2_MechAdd_HighSeverity'!O43</f>
        <v/>
      </c>
      <c r="AD43">
        <f>'2_MechAdd_HighSeverity'!P43</f>
        <v/>
      </c>
      <c r="AE43">
        <f>'2_MechAdd_HighSeverity'!Q43</f>
        <v/>
      </c>
      <c r="AF43">
        <f>'2_MechAdd_LowSeverity'!R43</f>
        <v/>
      </c>
      <c r="AG43">
        <f>'2_MechAdd_LowSeverity'!S43</f>
        <v/>
      </c>
      <c r="AH43">
        <f>'2_MechAdd_LowSeverity'!T43</f>
        <v/>
      </c>
      <c r="AI43">
        <f>'2_MechAdd_LowSeverity'!U43</f>
        <v/>
      </c>
      <c r="AJ43">
        <f>'2_MechAdd_ModSeverity'!S43</f>
        <v/>
      </c>
      <c r="AK43">
        <f>'2_MechAdd_ModSeverity'!T43</f>
        <v/>
      </c>
      <c r="AL43">
        <f>'2_MechAdd_ModSeverity'!U43</f>
        <v/>
      </c>
      <c r="AM43">
        <f>'2_MechAdd_HighSeverity'!S43</f>
        <v/>
      </c>
      <c r="AN43">
        <f>'2_MechAdd_HighSeverity'!T43</f>
        <v/>
      </c>
      <c r="AO43">
        <f>'2_MechAdd_HighSeverity'!U43</f>
        <v/>
      </c>
      <c r="AP43">
        <f>'2_MechAdd_LowSeverity'!V43</f>
        <v/>
      </c>
      <c r="AQ43">
        <f>'2_MechAdd_LowSeverity'!W43</f>
        <v/>
      </c>
      <c r="AR43">
        <f>'2_MechAdd_LowSeverity'!X43</f>
        <v/>
      </c>
      <c r="AS43">
        <f>'2_MechAdd_LowSeverity'!Y43</f>
        <v/>
      </c>
      <c r="AT43">
        <f>'2_MechAdd_ModSeverity'!W43</f>
        <v/>
      </c>
      <c r="AU43">
        <f>'2_MechAdd_ModSeverity'!X43</f>
        <v/>
      </c>
      <c r="AV43">
        <f>'2_MechAdd_ModSeverity'!Y43</f>
        <v/>
      </c>
      <c r="AW43">
        <f>'2_MechAdd_HighSeverity'!W43</f>
        <v/>
      </c>
      <c r="AX43">
        <f>'2_MechAdd_HighSeverity'!X43</f>
        <v/>
      </c>
      <c r="AY43">
        <f>'2_MechAdd_HighSeverity'!Y43</f>
        <v/>
      </c>
      <c r="AZ43">
        <f>'2_MechAdd_LowSeverity'!Z43</f>
        <v/>
      </c>
      <c r="BA43">
        <f>'2_MechAdd_LowSeverity'!AA43</f>
        <v/>
      </c>
      <c r="BB43">
        <f>'2_MechAdd_LowSeverity'!AB43</f>
        <v/>
      </c>
      <c r="BC43">
        <f>'2_MechAdd_LowSeverity'!AC43</f>
        <v/>
      </c>
      <c r="BD43">
        <f>'2_MechAdd_ModSeverity'!AA43</f>
        <v/>
      </c>
      <c r="BE43">
        <f>'2_MechAdd_ModSeverity'!AB43</f>
        <v/>
      </c>
      <c r="BF43">
        <f>'2_MechAdd_ModSeverity'!AC43</f>
        <v/>
      </c>
      <c r="BG43">
        <f>'2_MechAdd_HighSeverity'!AA43</f>
        <v/>
      </c>
      <c r="BH43">
        <f>'2_MechAdd_HighSeverity'!AB43</f>
        <v/>
      </c>
      <c r="BI43">
        <f>'2_MechAdd_HighSeverity'!AC43</f>
        <v/>
      </c>
    </row>
    <row r="44">
      <c r="A44" s="34">
        <f>'2_MechAdd_Script'!A44</f>
        <v/>
      </c>
      <c r="B44">
        <f>'2_MechAdd_LowSeverity'!F44</f>
        <v/>
      </c>
      <c r="C44">
        <f>'2_MechAdd_LowSeverity'!G44</f>
        <v/>
      </c>
      <c r="D44">
        <f>'2_MechAdd_LowSeverity'!H44</f>
        <v/>
      </c>
      <c r="E44">
        <f>'2_MechAdd_LowSeverity'!I44</f>
        <v/>
      </c>
      <c r="F44">
        <f>'2_MechAdd_ModSeverity'!G44</f>
        <v/>
      </c>
      <c r="G44">
        <f>'2_MechAdd_ModSeverity'!H44</f>
        <v/>
      </c>
      <c r="H44">
        <f>'2_MechAdd_ModSeverity'!I44</f>
        <v/>
      </c>
      <c r="I44">
        <f>'2_MechAdd_HighSeverity'!G44</f>
        <v/>
      </c>
      <c r="J44">
        <f>'2_MechAdd_HighSeverity'!H44</f>
        <v/>
      </c>
      <c r="K44">
        <f>'2_MechAdd_HighSeverity'!I44</f>
        <v/>
      </c>
      <c r="L44">
        <f>'2_MechAdd_LowSeverity'!J44</f>
        <v/>
      </c>
      <c r="M44">
        <f>'2_MechAdd_LowSeverity'!K44</f>
        <v/>
      </c>
      <c r="N44">
        <f>'2_MechAdd_LowSeverity'!L44</f>
        <v/>
      </c>
      <c r="O44">
        <f>'2_MechAdd_LowSeverity'!M44</f>
        <v/>
      </c>
      <c r="P44">
        <f>'2_MechAdd_ModSeverity'!K44</f>
        <v/>
      </c>
      <c r="Q44">
        <f>'2_MechAdd_ModSeverity'!L44</f>
        <v/>
      </c>
      <c r="R44">
        <f>'2_MechAdd_ModSeverity'!M44</f>
        <v/>
      </c>
      <c r="S44">
        <f>'2_MechAdd_HighSeverity'!K44</f>
        <v/>
      </c>
      <c r="T44">
        <f>'2_MechAdd_HighSeverity'!L44</f>
        <v/>
      </c>
      <c r="U44">
        <f>'2_MechAdd_HighSeverity'!M44</f>
        <v/>
      </c>
      <c r="V44">
        <f>'2_MechAdd_LowSeverity'!N44</f>
        <v/>
      </c>
      <c r="W44">
        <f>'2_MechAdd_LowSeverity'!O44</f>
        <v/>
      </c>
      <c r="X44">
        <f>'2_MechAdd_LowSeverity'!P44</f>
        <v/>
      </c>
      <c r="Y44">
        <f>'2_MechAdd_LowSeverity'!Q44</f>
        <v/>
      </c>
      <c r="Z44">
        <f>'2_MechAdd_ModSeverity'!O44</f>
        <v/>
      </c>
      <c r="AA44">
        <f>'2_MechAdd_ModSeverity'!P44</f>
        <v/>
      </c>
      <c r="AB44">
        <f>'2_MechAdd_ModSeverity'!Q44</f>
        <v/>
      </c>
      <c r="AC44">
        <f>'2_MechAdd_HighSeverity'!O44</f>
        <v/>
      </c>
      <c r="AD44">
        <f>'2_MechAdd_HighSeverity'!P44</f>
        <v/>
      </c>
      <c r="AE44">
        <f>'2_MechAdd_HighSeverity'!Q44</f>
        <v/>
      </c>
      <c r="AF44">
        <f>'2_MechAdd_LowSeverity'!R44</f>
        <v/>
      </c>
      <c r="AG44">
        <f>'2_MechAdd_LowSeverity'!S44</f>
        <v/>
      </c>
      <c r="AH44">
        <f>'2_MechAdd_LowSeverity'!T44</f>
        <v/>
      </c>
      <c r="AI44">
        <f>'2_MechAdd_LowSeverity'!U44</f>
        <v/>
      </c>
      <c r="AJ44">
        <f>'2_MechAdd_ModSeverity'!S44</f>
        <v/>
      </c>
      <c r="AK44">
        <f>'2_MechAdd_ModSeverity'!T44</f>
        <v/>
      </c>
      <c r="AL44">
        <f>'2_MechAdd_ModSeverity'!U44</f>
        <v/>
      </c>
      <c r="AM44">
        <f>'2_MechAdd_HighSeverity'!S44</f>
        <v/>
      </c>
      <c r="AN44">
        <f>'2_MechAdd_HighSeverity'!T44</f>
        <v/>
      </c>
      <c r="AO44">
        <f>'2_MechAdd_HighSeverity'!U44</f>
        <v/>
      </c>
      <c r="AP44">
        <f>'2_MechAdd_LowSeverity'!V44</f>
        <v/>
      </c>
      <c r="AQ44">
        <f>'2_MechAdd_LowSeverity'!W44</f>
        <v/>
      </c>
      <c r="AR44">
        <f>'2_MechAdd_LowSeverity'!X44</f>
        <v/>
      </c>
      <c r="AS44">
        <f>'2_MechAdd_LowSeverity'!Y44</f>
        <v/>
      </c>
      <c r="AT44">
        <f>'2_MechAdd_ModSeverity'!W44</f>
        <v/>
      </c>
      <c r="AU44">
        <f>'2_MechAdd_ModSeverity'!X44</f>
        <v/>
      </c>
      <c r="AV44">
        <f>'2_MechAdd_ModSeverity'!Y44</f>
        <v/>
      </c>
      <c r="AW44">
        <f>'2_MechAdd_HighSeverity'!W44</f>
        <v/>
      </c>
      <c r="AX44">
        <f>'2_MechAdd_HighSeverity'!X44</f>
        <v/>
      </c>
      <c r="AY44">
        <f>'2_MechAdd_HighSeverity'!Y44</f>
        <v/>
      </c>
      <c r="AZ44">
        <f>'2_MechAdd_LowSeverity'!Z44</f>
        <v/>
      </c>
      <c r="BA44">
        <f>'2_MechAdd_LowSeverity'!AA44</f>
        <v/>
      </c>
      <c r="BB44">
        <f>'2_MechAdd_LowSeverity'!AB44</f>
        <v/>
      </c>
      <c r="BC44">
        <f>'2_MechAdd_LowSeverity'!AC44</f>
        <v/>
      </c>
      <c r="BD44">
        <f>'2_MechAdd_ModSeverity'!AA44</f>
        <v/>
      </c>
      <c r="BE44">
        <f>'2_MechAdd_ModSeverity'!AB44</f>
        <v/>
      </c>
      <c r="BF44">
        <f>'2_MechAdd_ModSeverity'!AC44</f>
        <v/>
      </c>
      <c r="BG44">
        <f>'2_MechAdd_HighSeverity'!AA44</f>
        <v/>
      </c>
      <c r="BH44">
        <f>'2_MechAdd_HighSeverity'!AB44</f>
        <v/>
      </c>
      <c r="BI44">
        <f>'2_MechAdd_HighSeverity'!AC44</f>
        <v/>
      </c>
    </row>
    <row r="45">
      <c r="A45" s="34">
        <f>'2_MechAdd_Script'!A45</f>
        <v/>
      </c>
      <c r="B45">
        <f>'2_MechAdd_LowSeverity'!F45</f>
        <v/>
      </c>
      <c r="C45">
        <f>'2_MechAdd_LowSeverity'!G45</f>
        <v/>
      </c>
      <c r="D45">
        <f>'2_MechAdd_LowSeverity'!H45</f>
        <v/>
      </c>
      <c r="E45">
        <f>'2_MechAdd_LowSeverity'!I45</f>
        <v/>
      </c>
      <c r="F45">
        <f>'2_MechAdd_ModSeverity'!G45</f>
        <v/>
      </c>
      <c r="G45">
        <f>'2_MechAdd_ModSeverity'!H45</f>
        <v/>
      </c>
      <c r="H45">
        <f>'2_MechAdd_ModSeverity'!I45</f>
        <v/>
      </c>
      <c r="I45">
        <f>'2_MechAdd_HighSeverity'!G45</f>
        <v/>
      </c>
      <c r="J45">
        <f>'2_MechAdd_HighSeverity'!H45</f>
        <v/>
      </c>
      <c r="K45">
        <f>'2_MechAdd_HighSeverity'!I45</f>
        <v/>
      </c>
      <c r="L45">
        <f>'2_MechAdd_LowSeverity'!J45</f>
        <v/>
      </c>
      <c r="M45">
        <f>'2_MechAdd_LowSeverity'!K45</f>
        <v/>
      </c>
      <c r="N45">
        <f>'2_MechAdd_LowSeverity'!L45</f>
        <v/>
      </c>
      <c r="O45">
        <f>'2_MechAdd_LowSeverity'!M45</f>
        <v/>
      </c>
      <c r="P45">
        <f>'2_MechAdd_ModSeverity'!K45</f>
        <v/>
      </c>
      <c r="Q45">
        <f>'2_MechAdd_ModSeverity'!L45</f>
        <v/>
      </c>
      <c r="R45">
        <f>'2_MechAdd_ModSeverity'!M45</f>
        <v/>
      </c>
      <c r="S45">
        <f>'2_MechAdd_HighSeverity'!K45</f>
        <v/>
      </c>
      <c r="T45">
        <f>'2_MechAdd_HighSeverity'!L45</f>
        <v/>
      </c>
      <c r="U45">
        <f>'2_MechAdd_HighSeverity'!M45</f>
        <v/>
      </c>
      <c r="V45">
        <f>'2_MechAdd_LowSeverity'!N45</f>
        <v/>
      </c>
      <c r="W45">
        <f>'2_MechAdd_LowSeverity'!O45</f>
        <v/>
      </c>
      <c r="X45">
        <f>'2_MechAdd_LowSeverity'!P45</f>
        <v/>
      </c>
      <c r="Y45">
        <f>'2_MechAdd_LowSeverity'!Q45</f>
        <v/>
      </c>
      <c r="Z45">
        <f>'2_MechAdd_ModSeverity'!O45</f>
        <v/>
      </c>
      <c r="AA45">
        <f>'2_MechAdd_ModSeverity'!P45</f>
        <v/>
      </c>
      <c r="AB45">
        <f>'2_MechAdd_ModSeverity'!Q45</f>
        <v/>
      </c>
      <c r="AC45">
        <f>'2_MechAdd_HighSeverity'!O45</f>
        <v/>
      </c>
      <c r="AD45">
        <f>'2_MechAdd_HighSeverity'!P45</f>
        <v/>
      </c>
      <c r="AE45">
        <f>'2_MechAdd_HighSeverity'!Q45</f>
        <v/>
      </c>
      <c r="AF45">
        <f>'2_MechAdd_LowSeverity'!R45</f>
        <v/>
      </c>
      <c r="AG45">
        <f>'2_MechAdd_LowSeverity'!S45</f>
        <v/>
      </c>
      <c r="AH45">
        <f>'2_MechAdd_LowSeverity'!T45</f>
        <v/>
      </c>
      <c r="AI45">
        <f>'2_MechAdd_LowSeverity'!U45</f>
        <v/>
      </c>
      <c r="AJ45">
        <f>'2_MechAdd_ModSeverity'!S45</f>
        <v/>
      </c>
      <c r="AK45">
        <f>'2_MechAdd_ModSeverity'!T45</f>
        <v/>
      </c>
      <c r="AL45">
        <f>'2_MechAdd_ModSeverity'!U45</f>
        <v/>
      </c>
      <c r="AM45">
        <f>'2_MechAdd_HighSeverity'!S45</f>
        <v/>
      </c>
      <c r="AN45">
        <f>'2_MechAdd_HighSeverity'!T45</f>
        <v/>
      </c>
      <c r="AO45">
        <f>'2_MechAdd_HighSeverity'!U45</f>
        <v/>
      </c>
      <c r="AP45">
        <f>'2_MechAdd_LowSeverity'!V45</f>
        <v/>
      </c>
      <c r="AQ45">
        <f>'2_MechAdd_LowSeverity'!W45</f>
        <v/>
      </c>
      <c r="AR45">
        <f>'2_MechAdd_LowSeverity'!X45</f>
        <v/>
      </c>
      <c r="AS45">
        <f>'2_MechAdd_LowSeverity'!Y45</f>
        <v/>
      </c>
      <c r="AT45">
        <f>'2_MechAdd_ModSeverity'!W45</f>
        <v/>
      </c>
      <c r="AU45">
        <f>'2_MechAdd_ModSeverity'!X45</f>
        <v/>
      </c>
      <c r="AV45">
        <f>'2_MechAdd_ModSeverity'!Y45</f>
        <v/>
      </c>
      <c r="AW45">
        <f>'2_MechAdd_HighSeverity'!W45</f>
        <v/>
      </c>
      <c r="AX45">
        <f>'2_MechAdd_HighSeverity'!X45</f>
        <v/>
      </c>
      <c r="AY45">
        <f>'2_MechAdd_HighSeverity'!Y45</f>
        <v/>
      </c>
      <c r="AZ45">
        <f>'2_MechAdd_LowSeverity'!Z45</f>
        <v/>
      </c>
      <c r="BA45">
        <f>'2_MechAdd_LowSeverity'!AA45</f>
        <v/>
      </c>
      <c r="BB45">
        <f>'2_MechAdd_LowSeverity'!AB45</f>
        <v/>
      </c>
      <c r="BC45">
        <f>'2_MechAdd_LowSeverity'!AC45</f>
        <v/>
      </c>
      <c r="BD45">
        <f>'2_MechAdd_ModSeverity'!AA45</f>
        <v/>
      </c>
      <c r="BE45">
        <f>'2_MechAdd_ModSeverity'!AB45</f>
        <v/>
      </c>
      <c r="BF45">
        <f>'2_MechAdd_ModSeverity'!AC45</f>
        <v/>
      </c>
      <c r="BG45">
        <f>'2_MechAdd_HighSeverity'!AA45</f>
        <v/>
      </c>
      <c r="BH45">
        <f>'2_MechAdd_HighSeverity'!AB45</f>
        <v/>
      </c>
      <c r="BI45">
        <f>'2_MechAdd_HighSeverity'!AC45</f>
        <v/>
      </c>
    </row>
    <row r="46">
      <c r="A46" s="34">
        <f>'2_MechAdd_Script'!A46</f>
        <v/>
      </c>
      <c r="B46">
        <f>'2_MechAdd_LowSeverity'!F46</f>
        <v/>
      </c>
      <c r="C46">
        <f>'2_MechAdd_LowSeverity'!G46</f>
        <v/>
      </c>
      <c r="D46">
        <f>'2_MechAdd_LowSeverity'!H46</f>
        <v/>
      </c>
      <c r="E46">
        <f>'2_MechAdd_LowSeverity'!I46</f>
        <v/>
      </c>
      <c r="F46">
        <f>'2_MechAdd_ModSeverity'!G46</f>
        <v/>
      </c>
      <c r="G46">
        <f>'2_MechAdd_ModSeverity'!H46</f>
        <v/>
      </c>
      <c r="H46">
        <f>'2_MechAdd_ModSeverity'!I46</f>
        <v/>
      </c>
      <c r="I46">
        <f>'2_MechAdd_HighSeverity'!G46</f>
        <v/>
      </c>
      <c r="J46">
        <f>'2_MechAdd_HighSeverity'!H46</f>
        <v/>
      </c>
      <c r="K46">
        <f>'2_MechAdd_HighSeverity'!I46</f>
        <v/>
      </c>
      <c r="L46">
        <f>'2_MechAdd_LowSeverity'!J46</f>
        <v/>
      </c>
      <c r="M46">
        <f>'2_MechAdd_LowSeverity'!K46</f>
        <v/>
      </c>
      <c r="N46">
        <f>'2_MechAdd_LowSeverity'!L46</f>
        <v/>
      </c>
      <c r="O46">
        <f>'2_MechAdd_LowSeverity'!M46</f>
        <v/>
      </c>
      <c r="P46">
        <f>'2_MechAdd_ModSeverity'!K46</f>
        <v/>
      </c>
      <c r="Q46">
        <f>'2_MechAdd_ModSeverity'!L46</f>
        <v/>
      </c>
      <c r="R46">
        <f>'2_MechAdd_ModSeverity'!M46</f>
        <v/>
      </c>
      <c r="S46">
        <f>'2_MechAdd_HighSeverity'!K46</f>
        <v/>
      </c>
      <c r="T46">
        <f>'2_MechAdd_HighSeverity'!L46</f>
        <v/>
      </c>
      <c r="U46">
        <f>'2_MechAdd_HighSeverity'!M46</f>
        <v/>
      </c>
      <c r="V46">
        <f>'2_MechAdd_LowSeverity'!N46</f>
        <v/>
      </c>
      <c r="W46">
        <f>'2_MechAdd_LowSeverity'!O46</f>
        <v/>
      </c>
      <c r="X46">
        <f>'2_MechAdd_LowSeverity'!P46</f>
        <v/>
      </c>
      <c r="Y46">
        <f>'2_MechAdd_LowSeverity'!Q46</f>
        <v/>
      </c>
      <c r="Z46">
        <f>'2_MechAdd_ModSeverity'!O46</f>
        <v/>
      </c>
      <c r="AA46">
        <f>'2_MechAdd_ModSeverity'!P46</f>
        <v/>
      </c>
      <c r="AB46">
        <f>'2_MechAdd_ModSeverity'!Q46</f>
        <v/>
      </c>
      <c r="AC46">
        <f>'2_MechAdd_HighSeverity'!O46</f>
        <v/>
      </c>
      <c r="AD46">
        <f>'2_MechAdd_HighSeverity'!P46</f>
        <v/>
      </c>
      <c r="AE46">
        <f>'2_MechAdd_HighSeverity'!Q46</f>
        <v/>
      </c>
      <c r="AF46">
        <f>'2_MechAdd_LowSeverity'!R46</f>
        <v/>
      </c>
      <c r="AG46">
        <f>'2_MechAdd_LowSeverity'!S46</f>
        <v/>
      </c>
      <c r="AH46">
        <f>'2_MechAdd_LowSeverity'!T46</f>
        <v/>
      </c>
      <c r="AI46">
        <f>'2_MechAdd_LowSeverity'!U46</f>
        <v/>
      </c>
      <c r="AJ46">
        <f>'2_MechAdd_ModSeverity'!S46</f>
        <v/>
      </c>
      <c r="AK46">
        <f>'2_MechAdd_ModSeverity'!T46</f>
        <v/>
      </c>
      <c r="AL46">
        <f>'2_MechAdd_ModSeverity'!U46</f>
        <v/>
      </c>
      <c r="AM46">
        <f>'2_MechAdd_HighSeverity'!S46</f>
        <v/>
      </c>
      <c r="AN46">
        <f>'2_MechAdd_HighSeverity'!T46</f>
        <v/>
      </c>
      <c r="AO46">
        <f>'2_MechAdd_HighSeverity'!U46</f>
        <v/>
      </c>
      <c r="AP46">
        <f>'2_MechAdd_LowSeverity'!V46</f>
        <v/>
      </c>
      <c r="AQ46">
        <f>'2_MechAdd_LowSeverity'!W46</f>
        <v/>
      </c>
      <c r="AR46">
        <f>'2_MechAdd_LowSeverity'!X46</f>
        <v/>
      </c>
      <c r="AS46">
        <f>'2_MechAdd_LowSeverity'!Y46</f>
        <v/>
      </c>
      <c r="AT46">
        <f>'2_MechAdd_ModSeverity'!W46</f>
        <v/>
      </c>
      <c r="AU46">
        <f>'2_MechAdd_ModSeverity'!X46</f>
        <v/>
      </c>
      <c r="AV46">
        <f>'2_MechAdd_ModSeverity'!Y46</f>
        <v/>
      </c>
      <c r="AW46">
        <f>'2_MechAdd_HighSeverity'!W46</f>
        <v/>
      </c>
      <c r="AX46">
        <f>'2_MechAdd_HighSeverity'!X46</f>
        <v/>
      </c>
      <c r="AY46">
        <f>'2_MechAdd_HighSeverity'!Y46</f>
        <v/>
      </c>
      <c r="AZ46">
        <f>'2_MechAdd_LowSeverity'!Z46</f>
        <v/>
      </c>
      <c r="BA46">
        <f>'2_MechAdd_LowSeverity'!AA46</f>
        <v/>
      </c>
      <c r="BB46">
        <f>'2_MechAdd_LowSeverity'!AB46</f>
        <v/>
      </c>
      <c r="BC46">
        <f>'2_MechAdd_LowSeverity'!AC46</f>
        <v/>
      </c>
      <c r="BD46">
        <f>'2_MechAdd_ModSeverity'!AA46</f>
        <v/>
      </c>
      <c r="BE46">
        <f>'2_MechAdd_ModSeverity'!AB46</f>
        <v/>
      </c>
      <c r="BF46">
        <f>'2_MechAdd_ModSeverity'!AC46</f>
        <v/>
      </c>
      <c r="BG46">
        <f>'2_MechAdd_HighSeverity'!AA46</f>
        <v/>
      </c>
      <c r="BH46">
        <f>'2_MechAdd_HighSeverity'!AB46</f>
        <v/>
      </c>
      <c r="BI46">
        <f>'2_MechAdd_HighSeverity'!AC46</f>
        <v/>
      </c>
    </row>
    <row r="47">
      <c r="A47" s="34">
        <f>'2_MechAdd_Script'!A47</f>
        <v/>
      </c>
      <c r="B47">
        <f>'2_MechAdd_LowSeverity'!F47</f>
        <v/>
      </c>
      <c r="C47">
        <f>'2_MechAdd_LowSeverity'!G47</f>
        <v/>
      </c>
      <c r="D47">
        <f>'2_MechAdd_LowSeverity'!H47</f>
        <v/>
      </c>
      <c r="E47">
        <f>'2_MechAdd_LowSeverity'!I47</f>
        <v/>
      </c>
      <c r="F47">
        <f>'2_MechAdd_ModSeverity'!G47</f>
        <v/>
      </c>
      <c r="G47">
        <f>'2_MechAdd_ModSeverity'!H47</f>
        <v/>
      </c>
      <c r="H47">
        <f>'2_MechAdd_ModSeverity'!I47</f>
        <v/>
      </c>
      <c r="I47">
        <f>'2_MechAdd_HighSeverity'!G47</f>
        <v/>
      </c>
      <c r="J47">
        <f>'2_MechAdd_HighSeverity'!H47</f>
        <v/>
      </c>
      <c r="K47">
        <f>'2_MechAdd_HighSeverity'!I47</f>
        <v/>
      </c>
      <c r="L47">
        <f>'2_MechAdd_LowSeverity'!J47</f>
        <v/>
      </c>
      <c r="M47">
        <f>'2_MechAdd_LowSeverity'!K47</f>
        <v/>
      </c>
      <c r="N47">
        <f>'2_MechAdd_LowSeverity'!L47</f>
        <v/>
      </c>
      <c r="O47">
        <f>'2_MechAdd_LowSeverity'!M47</f>
        <v/>
      </c>
      <c r="P47">
        <f>'2_MechAdd_ModSeverity'!K47</f>
        <v/>
      </c>
      <c r="Q47">
        <f>'2_MechAdd_ModSeverity'!L47</f>
        <v/>
      </c>
      <c r="R47">
        <f>'2_MechAdd_ModSeverity'!M47</f>
        <v/>
      </c>
      <c r="S47">
        <f>'2_MechAdd_HighSeverity'!K47</f>
        <v/>
      </c>
      <c r="T47">
        <f>'2_MechAdd_HighSeverity'!L47</f>
        <v/>
      </c>
      <c r="U47">
        <f>'2_MechAdd_HighSeverity'!M47</f>
        <v/>
      </c>
      <c r="V47">
        <f>'2_MechAdd_LowSeverity'!N47</f>
        <v/>
      </c>
      <c r="W47">
        <f>'2_MechAdd_LowSeverity'!O47</f>
        <v/>
      </c>
      <c r="X47">
        <f>'2_MechAdd_LowSeverity'!P47</f>
        <v/>
      </c>
      <c r="Y47">
        <f>'2_MechAdd_LowSeverity'!Q47</f>
        <v/>
      </c>
      <c r="Z47">
        <f>'2_MechAdd_ModSeverity'!O47</f>
        <v/>
      </c>
      <c r="AA47">
        <f>'2_MechAdd_ModSeverity'!P47</f>
        <v/>
      </c>
      <c r="AB47">
        <f>'2_MechAdd_ModSeverity'!Q47</f>
        <v/>
      </c>
      <c r="AC47">
        <f>'2_MechAdd_HighSeverity'!O47</f>
        <v/>
      </c>
      <c r="AD47">
        <f>'2_MechAdd_HighSeverity'!P47</f>
        <v/>
      </c>
      <c r="AE47">
        <f>'2_MechAdd_HighSeverity'!Q47</f>
        <v/>
      </c>
      <c r="AF47">
        <f>'2_MechAdd_LowSeverity'!R47</f>
        <v/>
      </c>
      <c r="AG47">
        <f>'2_MechAdd_LowSeverity'!S47</f>
        <v/>
      </c>
      <c r="AH47">
        <f>'2_MechAdd_LowSeverity'!T47</f>
        <v/>
      </c>
      <c r="AI47">
        <f>'2_MechAdd_LowSeverity'!U47</f>
        <v/>
      </c>
      <c r="AJ47">
        <f>'2_MechAdd_ModSeverity'!S47</f>
        <v/>
      </c>
      <c r="AK47">
        <f>'2_MechAdd_ModSeverity'!T47</f>
        <v/>
      </c>
      <c r="AL47">
        <f>'2_MechAdd_ModSeverity'!U47</f>
        <v/>
      </c>
      <c r="AM47">
        <f>'2_MechAdd_HighSeverity'!S47</f>
        <v/>
      </c>
      <c r="AN47">
        <f>'2_MechAdd_HighSeverity'!T47</f>
        <v/>
      </c>
      <c r="AO47">
        <f>'2_MechAdd_HighSeverity'!U47</f>
        <v/>
      </c>
      <c r="AP47">
        <f>'2_MechAdd_LowSeverity'!V47</f>
        <v/>
      </c>
      <c r="AQ47">
        <f>'2_MechAdd_LowSeverity'!W47</f>
        <v/>
      </c>
      <c r="AR47">
        <f>'2_MechAdd_LowSeverity'!X47</f>
        <v/>
      </c>
      <c r="AS47">
        <f>'2_MechAdd_LowSeverity'!Y47</f>
        <v/>
      </c>
      <c r="AT47">
        <f>'2_MechAdd_ModSeverity'!W47</f>
        <v/>
      </c>
      <c r="AU47">
        <f>'2_MechAdd_ModSeverity'!X47</f>
        <v/>
      </c>
      <c r="AV47">
        <f>'2_MechAdd_ModSeverity'!Y47</f>
        <v/>
      </c>
      <c r="AW47">
        <f>'2_MechAdd_HighSeverity'!W47</f>
        <v/>
      </c>
      <c r="AX47">
        <f>'2_MechAdd_HighSeverity'!X47</f>
        <v/>
      </c>
      <c r="AY47">
        <f>'2_MechAdd_HighSeverity'!Y47</f>
        <v/>
      </c>
      <c r="AZ47">
        <f>'2_MechAdd_LowSeverity'!Z47</f>
        <v/>
      </c>
      <c r="BA47">
        <f>'2_MechAdd_LowSeverity'!AA47</f>
        <v/>
      </c>
      <c r="BB47">
        <f>'2_MechAdd_LowSeverity'!AB47</f>
        <v/>
      </c>
      <c r="BC47">
        <f>'2_MechAdd_LowSeverity'!AC47</f>
        <v/>
      </c>
      <c r="BD47">
        <f>'2_MechAdd_ModSeverity'!AA47</f>
        <v/>
      </c>
      <c r="BE47">
        <f>'2_MechAdd_ModSeverity'!AB47</f>
        <v/>
      </c>
      <c r="BF47">
        <f>'2_MechAdd_ModSeverity'!AC47</f>
        <v/>
      </c>
      <c r="BG47">
        <f>'2_MechAdd_HighSeverity'!AA47</f>
        <v/>
      </c>
      <c r="BH47">
        <f>'2_MechAdd_HighSeverity'!AB47</f>
        <v/>
      </c>
      <c r="BI47">
        <f>'2_MechAdd_HighSeverity'!AC47</f>
        <v/>
      </c>
    </row>
    <row r="48">
      <c r="A48" s="34">
        <f>'2_MechAdd_Script'!A48</f>
        <v/>
      </c>
      <c r="B48">
        <f>'2_MechAdd_LowSeverity'!F48</f>
        <v/>
      </c>
      <c r="C48">
        <f>'2_MechAdd_LowSeverity'!G48</f>
        <v/>
      </c>
      <c r="D48">
        <f>'2_MechAdd_LowSeverity'!H48</f>
        <v/>
      </c>
      <c r="E48">
        <f>'2_MechAdd_LowSeverity'!I48</f>
        <v/>
      </c>
      <c r="F48">
        <f>'2_MechAdd_ModSeverity'!G48</f>
        <v/>
      </c>
      <c r="G48">
        <f>'2_MechAdd_ModSeverity'!H48</f>
        <v/>
      </c>
      <c r="H48">
        <f>'2_MechAdd_ModSeverity'!I48</f>
        <v/>
      </c>
      <c r="I48">
        <f>'2_MechAdd_HighSeverity'!G48</f>
        <v/>
      </c>
      <c r="J48">
        <f>'2_MechAdd_HighSeverity'!H48</f>
        <v/>
      </c>
      <c r="K48">
        <f>'2_MechAdd_HighSeverity'!I48</f>
        <v/>
      </c>
      <c r="L48">
        <f>'2_MechAdd_LowSeverity'!J48</f>
        <v/>
      </c>
      <c r="M48">
        <f>'2_MechAdd_LowSeverity'!K48</f>
        <v/>
      </c>
      <c r="N48">
        <f>'2_MechAdd_LowSeverity'!L48</f>
        <v/>
      </c>
      <c r="O48">
        <f>'2_MechAdd_LowSeverity'!M48</f>
        <v/>
      </c>
      <c r="P48">
        <f>'2_MechAdd_ModSeverity'!K48</f>
        <v/>
      </c>
      <c r="Q48">
        <f>'2_MechAdd_ModSeverity'!L48</f>
        <v/>
      </c>
      <c r="R48">
        <f>'2_MechAdd_ModSeverity'!M48</f>
        <v/>
      </c>
      <c r="S48">
        <f>'2_MechAdd_HighSeverity'!K48</f>
        <v/>
      </c>
      <c r="T48">
        <f>'2_MechAdd_HighSeverity'!L48</f>
        <v/>
      </c>
      <c r="U48">
        <f>'2_MechAdd_HighSeverity'!M48</f>
        <v/>
      </c>
      <c r="V48">
        <f>'2_MechAdd_LowSeverity'!N48</f>
        <v/>
      </c>
      <c r="W48">
        <f>'2_MechAdd_LowSeverity'!O48</f>
        <v/>
      </c>
      <c r="X48">
        <f>'2_MechAdd_LowSeverity'!P48</f>
        <v/>
      </c>
      <c r="Y48">
        <f>'2_MechAdd_LowSeverity'!Q48</f>
        <v/>
      </c>
      <c r="Z48">
        <f>'2_MechAdd_ModSeverity'!O48</f>
        <v/>
      </c>
      <c r="AA48">
        <f>'2_MechAdd_ModSeverity'!P48</f>
        <v/>
      </c>
      <c r="AB48">
        <f>'2_MechAdd_ModSeverity'!Q48</f>
        <v/>
      </c>
      <c r="AC48">
        <f>'2_MechAdd_HighSeverity'!O48</f>
        <v/>
      </c>
      <c r="AD48">
        <f>'2_MechAdd_HighSeverity'!P48</f>
        <v/>
      </c>
      <c r="AE48">
        <f>'2_MechAdd_HighSeverity'!Q48</f>
        <v/>
      </c>
      <c r="AF48">
        <f>'2_MechAdd_LowSeverity'!R48</f>
        <v/>
      </c>
      <c r="AG48">
        <f>'2_MechAdd_LowSeverity'!S48</f>
        <v/>
      </c>
      <c r="AH48">
        <f>'2_MechAdd_LowSeverity'!T48</f>
        <v/>
      </c>
      <c r="AI48">
        <f>'2_MechAdd_LowSeverity'!U48</f>
        <v/>
      </c>
      <c r="AJ48">
        <f>'2_MechAdd_ModSeverity'!S48</f>
        <v/>
      </c>
      <c r="AK48">
        <f>'2_MechAdd_ModSeverity'!T48</f>
        <v/>
      </c>
      <c r="AL48">
        <f>'2_MechAdd_ModSeverity'!U48</f>
        <v/>
      </c>
      <c r="AM48">
        <f>'2_MechAdd_HighSeverity'!S48</f>
        <v/>
      </c>
      <c r="AN48">
        <f>'2_MechAdd_HighSeverity'!T48</f>
        <v/>
      </c>
      <c r="AO48">
        <f>'2_MechAdd_HighSeverity'!U48</f>
        <v/>
      </c>
      <c r="AP48">
        <f>'2_MechAdd_LowSeverity'!V48</f>
        <v/>
      </c>
      <c r="AQ48">
        <f>'2_MechAdd_LowSeverity'!W48</f>
        <v/>
      </c>
      <c r="AR48">
        <f>'2_MechAdd_LowSeverity'!X48</f>
        <v/>
      </c>
      <c r="AS48">
        <f>'2_MechAdd_LowSeverity'!Y48</f>
        <v/>
      </c>
      <c r="AT48">
        <f>'2_MechAdd_ModSeverity'!W48</f>
        <v/>
      </c>
      <c r="AU48">
        <f>'2_MechAdd_ModSeverity'!X48</f>
        <v/>
      </c>
      <c r="AV48">
        <f>'2_MechAdd_ModSeverity'!Y48</f>
        <v/>
      </c>
      <c r="AW48">
        <f>'2_MechAdd_HighSeverity'!W48</f>
        <v/>
      </c>
      <c r="AX48">
        <f>'2_MechAdd_HighSeverity'!X48</f>
        <v/>
      </c>
      <c r="AY48">
        <f>'2_MechAdd_HighSeverity'!Y48</f>
        <v/>
      </c>
      <c r="AZ48">
        <f>'2_MechAdd_LowSeverity'!Z48</f>
        <v/>
      </c>
      <c r="BA48">
        <f>'2_MechAdd_LowSeverity'!AA48</f>
        <v/>
      </c>
      <c r="BB48">
        <f>'2_MechAdd_LowSeverity'!AB48</f>
        <v/>
      </c>
      <c r="BC48">
        <f>'2_MechAdd_LowSeverity'!AC48</f>
        <v/>
      </c>
      <c r="BD48">
        <f>'2_MechAdd_ModSeverity'!AA48</f>
        <v/>
      </c>
      <c r="BE48">
        <f>'2_MechAdd_ModSeverity'!AB48</f>
        <v/>
      </c>
      <c r="BF48">
        <f>'2_MechAdd_ModSeverity'!AC48</f>
        <v/>
      </c>
      <c r="BG48">
        <f>'2_MechAdd_HighSeverity'!AA48</f>
        <v/>
      </c>
      <c r="BH48">
        <f>'2_MechAdd_HighSeverity'!AB48</f>
        <v/>
      </c>
      <c r="BI48">
        <f>'2_MechAdd_HighSeverity'!AC48</f>
        <v/>
      </c>
    </row>
    <row r="49">
      <c r="A49" s="34">
        <f>'2_MechAdd_Script'!A49</f>
        <v/>
      </c>
      <c r="B49">
        <f>'2_MechAdd_LowSeverity'!F49</f>
        <v/>
      </c>
      <c r="C49">
        <f>'2_MechAdd_LowSeverity'!G49</f>
        <v/>
      </c>
      <c r="D49">
        <f>'2_MechAdd_LowSeverity'!H49</f>
        <v/>
      </c>
      <c r="E49">
        <f>'2_MechAdd_LowSeverity'!I49</f>
        <v/>
      </c>
      <c r="F49">
        <f>'2_MechAdd_ModSeverity'!G49</f>
        <v/>
      </c>
      <c r="G49">
        <f>'2_MechAdd_ModSeverity'!H49</f>
        <v/>
      </c>
      <c r="H49">
        <f>'2_MechAdd_ModSeverity'!I49</f>
        <v/>
      </c>
      <c r="I49">
        <f>'2_MechAdd_HighSeverity'!G49</f>
        <v/>
      </c>
      <c r="J49">
        <f>'2_MechAdd_HighSeverity'!H49</f>
        <v/>
      </c>
      <c r="K49">
        <f>'2_MechAdd_HighSeverity'!I49</f>
        <v/>
      </c>
      <c r="L49">
        <f>'2_MechAdd_LowSeverity'!J49</f>
        <v/>
      </c>
      <c r="M49">
        <f>'2_MechAdd_LowSeverity'!K49</f>
        <v/>
      </c>
      <c r="N49">
        <f>'2_MechAdd_LowSeverity'!L49</f>
        <v/>
      </c>
      <c r="O49">
        <f>'2_MechAdd_LowSeverity'!M49</f>
        <v/>
      </c>
      <c r="P49">
        <f>'2_MechAdd_ModSeverity'!K49</f>
        <v/>
      </c>
      <c r="Q49">
        <f>'2_MechAdd_ModSeverity'!L49</f>
        <v/>
      </c>
      <c r="R49">
        <f>'2_MechAdd_ModSeverity'!M49</f>
        <v/>
      </c>
      <c r="S49">
        <f>'2_MechAdd_HighSeverity'!K49</f>
        <v/>
      </c>
      <c r="T49">
        <f>'2_MechAdd_HighSeverity'!L49</f>
        <v/>
      </c>
      <c r="U49">
        <f>'2_MechAdd_HighSeverity'!M49</f>
        <v/>
      </c>
      <c r="V49">
        <f>'2_MechAdd_LowSeverity'!N49</f>
        <v/>
      </c>
      <c r="W49">
        <f>'2_MechAdd_LowSeverity'!O49</f>
        <v/>
      </c>
      <c r="X49">
        <f>'2_MechAdd_LowSeverity'!P49</f>
        <v/>
      </c>
      <c r="Y49">
        <f>'2_MechAdd_LowSeverity'!Q49</f>
        <v/>
      </c>
      <c r="Z49">
        <f>'2_MechAdd_ModSeverity'!O49</f>
        <v/>
      </c>
      <c r="AA49">
        <f>'2_MechAdd_ModSeverity'!P49</f>
        <v/>
      </c>
      <c r="AB49">
        <f>'2_MechAdd_ModSeverity'!Q49</f>
        <v/>
      </c>
      <c r="AC49">
        <f>'2_MechAdd_HighSeverity'!O49</f>
        <v/>
      </c>
      <c r="AD49">
        <f>'2_MechAdd_HighSeverity'!P49</f>
        <v/>
      </c>
      <c r="AE49">
        <f>'2_MechAdd_HighSeverity'!Q49</f>
        <v/>
      </c>
      <c r="AF49">
        <f>'2_MechAdd_LowSeverity'!R49</f>
        <v/>
      </c>
      <c r="AG49">
        <f>'2_MechAdd_LowSeverity'!S49</f>
        <v/>
      </c>
      <c r="AH49">
        <f>'2_MechAdd_LowSeverity'!T49</f>
        <v/>
      </c>
      <c r="AI49">
        <f>'2_MechAdd_LowSeverity'!U49</f>
        <v/>
      </c>
      <c r="AJ49">
        <f>'2_MechAdd_ModSeverity'!S49</f>
        <v/>
      </c>
      <c r="AK49">
        <f>'2_MechAdd_ModSeverity'!T49</f>
        <v/>
      </c>
      <c r="AL49">
        <f>'2_MechAdd_ModSeverity'!U49</f>
        <v/>
      </c>
      <c r="AM49">
        <f>'2_MechAdd_HighSeverity'!S49</f>
        <v/>
      </c>
      <c r="AN49">
        <f>'2_MechAdd_HighSeverity'!T49</f>
        <v/>
      </c>
      <c r="AO49">
        <f>'2_MechAdd_HighSeverity'!U49</f>
        <v/>
      </c>
      <c r="AP49">
        <f>'2_MechAdd_LowSeverity'!V49</f>
        <v/>
      </c>
      <c r="AQ49">
        <f>'2_MechAdd_LowSeverity'!W49</f>
        <v/>
      </c>
      <c r="AR49">
        <f>'2_MechAdd_LowSeverity'!X49</f>
        <v/>
      </c>
      <c r="AS49">
        <f>'2_MechAdd_LowSeverity'!Y49</f>
        <v/>
      </c>
      <c r="AT49">
        <f>'2_MechAdd_ModSeverity'!W49</f>
        <v/>
      </c>
      <c r="AU49">
        <f>'2_MechAdd_ModSeverity'!X49</f>
        <v/>
      </c>
      <c r="AV49">
        <f>'2_MechAdd_ModSeverity'!Y49</f>
        <v/>
      </c>
      <c r="AW49">
        <f>'2_MechAdd_HighSeverity'!W49</f>
        <v/>
      </c>
      <c r="AX49">
        <f>'2_MechAdd_HighSeverity'!X49</f>
        <v/>
      </c>
      <c r="AY49">
        <f>'2_MechAdd_HighSeverity'!Y49</f>
        <v/>
      </c>
      <c r="AZ49">
        <f>'2_MechAdd_LowSeverity'!Z49</f>
        <v/>
      </c>
      <c r="BA49">
        <f>'2_MechAdd_LowSeverity'!AA49</f>
        <v/>
      </c>
      <c r="BB49">
        <f>'2_MechAdd_LowSeverity'!AB49</f>
        <v/>
      </c>
      <c r="BC49">
        <f>'2_MechAdd_LowSeverity'!AC49</f>
        <v/>
      </c>
      <c r="BD49">
        <f>'2_MechAdd_ModSeverity'!AA49</f>
        <v/>
      </c>
      <c r="BE49">
        <f>'2_MechAdd_ModSeverity'!AB49</f>
        <v/>
      </c>
      <c r="BF49">
        <f>'2_MechAdd_ModSeverity'!AC49</f>
        <v/>
      </c>
      <c r="BG49">
        <f>'2_MechAdd_HighSeverity'!AA49</f>
        <v/>
      </c>
      <c r="BH49">
        <f>'2_MechAdd_HighSeverity'!AB49</f>
        <v/>
      </c>
      <c r="BI49">
        <f>'2_MechAdd_HighSeverity'!AC49</f>
        <v/>
      </c>
    </row>
    <row r="50">
      <c r="A50" s="34">
        <f>'2_MechAdd_Script'!A50</f>
        <v/>
      </c>
      <c r="B50">
        <f>'2_MechAdd_LowSeverity'!F50</f>
        <v/>
      </c>
      <c r="C50">
        <f>'2_MechAdd_LowSeverity'!G50</f>
        <v/>
      </c>
      <c r="D50">
        <f>'2_MechAdd_LowSeverity'!H50</f>
        <v/>
      </c>
      <c r="E50">
        <f>'2_MechAdd_LowSeverity'!I50</f>
        <v/>
      </c>
      <c r="F50">
        <f>'2_MechAdd_ModSeverity'!G50</f>
        <v/>
      </c>
      <c r="G50">
        <f>'2_MechAdd_ModSeverity'!H50</f>
        <v/>
      </c>
      <c r="H50">
        <f>'2_MechAdd_ModSeverity'!I50</f>
        <v/>
      </c>
      <c r="I50">
        <f>'2_MechAdd_HighSeverity'!G50</f>
        <v/>
      </c>
      <c r="J50">
        <f>'2_MechAdd_HighSeverity'!H50</f>
        <v/>
      </c>
      <c r="K50">
        <f>'2_MechAdd_HighSeverity'!I50</f>
        <v/>
      </c>
      <c r="L50">
        <f>'2_MechAdd_LowSeverity'!J50</f>
        <v/>
      </c>
      <c r="M50">
        <f>'2_MechAdd_LowSeverity'!K50</f>
        <v/>
      </c>
      <c r="N50">
        <f>'2_MechAdd_LowSeverity'!L50</f>
        <v/>
      </c>
      <c r="O50">
        <f>'2_MechAdd_LowSeverity'!M50</f>
        <v/>
      </c>
      <c r="P50">
        <f>'2_MechAdd_ModSeverity'!K50</f>
        <v/>
      </c>
      <c r="Q50">
        <f>'2_MechAdd_ModSeverity'!L50</f>
        <v/>
      </c>
      <c r="R50">
        <f>'2_MechAdd_ModSeverity'!M50</f>
        <v/>
      </c>
      <c r="S50">
        <f>'2_MechAdd_HighSeverity'!K50</f>
        <v/>
      </c>
      <c r="T50">
        <f>'2_MechAdd_HighSeverity'!L50</f>
        <v/>
      </c>
      <c r="U50">
        <f>'2_MechAdd_HighSeverity'!M50</f>
        <v/>
      </c>
      <c r="V50">
        <f>'2_MechAdd_LowSeverity'!N50</f>
        <v/>
      </c>
      <c r="W50">
        <f>'2_MechAdd_LowSeverity'!O50</f>
        <v/>
      </c>
      <c r="X50">
        <f>'2_MechAdd_LowSeverity'!P50</f>
        <v/>
      </c>
      <c r="Y50">
        <f>'2_MechAdd_LowSeverity'!Q50</f>
        <v/>
      </c>
      <c r="Z50">
        <f>'2_MechAdd_ModSeverity'!O50</f>
        <v/>
      </c>
      <c r="AA50">
        <f>'2_MechAdd_ModSeverity'!P50</f>
        <v/>
      </c>
      <c r="AB50">
        <f>'2_MechAdd_ModSeverity'!Q50</f>
        <v/>
      </c>
      <c r="AC50">
        <f>'2_MechAdd_HighSeverity'!O50</f>
        <v/>
      </c>
      <c r="AD50">
        <f>'2_MechAdd_HighSeverity'!P50</f>
        <v/>
      </c>
      <c r="AE50">
        <f>'2_MechAdd_HighSeverity'!Q50</f>
        <v/>
      </c>
      <c r="AF50">
        <f>'2_MechAdd_LowSeverity'!R50</f>
        <v/>
      </c>
      <c r="AG50">
        <f>'2_MechAdd_LowSeverity'!S50</f>
        <v/>
      </c>
      <c r="AH50">
        <f>'2_MechAdd_LowSeverity'!T50</f>
        <v/>
      </c>
      <c r="AI50">
        <f>'2_MechAdd_LowSeverity'!U50</f>
        <v/>
      </c>
      <c r="AJ50">
        <f>'2_MechAdd_ModSeverity'!S50</f>
        <v/>
      </c>
      <c r="AK50">
        <f>'2_MechAdd_ModSeverity'!T50</f>
        <v/>
      </c>
      <c r="AL50">
        <f>'2_MechAdd_ModSeverity'!U50</f>
        <v/>
      </c>
      <c r="AM50">
        <f>'2_MechAdd_HighSeverity'!S50</f>
        <v/>
      </c>
      <c r="AN50">
        <f>'2_MechAdd_HighSeverity'!T50</f>
        <v/>
      </c>
      <c r="AO50">
        <f>'2_MechAdd_HighSeverity'!U50</f>
        <v/>
      </c>
      <c r="AP50">
        <f>'2_MechAdd_LowSeverity'!V50</f>
        <v/>
      </c>
      <c r="AQ50">
        <f>'2_MechAdd_LowSeverity'!W50</f>
        <v/>
      </c>
      <c r="AR50">
        <f>'2_MechAdd_LowSeverity'!X50</f>
        <v/>
      </c>
      <c r="AS50">
        <f>'2_MechAdd_LowSeverity'!Y50</f>
        <v/>
      </c>
      <c r="AT50">
        <f>'2_MechAdd_ModSeverity'!W50</f>
        <v/>
      </c>
      <c r="AU50">
        <f>'2_MechAdd_ModSeverity'!X50</f>
        <v/>
      </c>
      <c r="AV50">
        <f>'2_MechAdd_ModSeverity'!Y50</f>
        <v/>
      </c>
      <c r="AW50">
        <f>'2_MechAdd_HighSeverity'!W50</f>
        <v/>
      </c>
      <c r="AX50">
        <f>'2_MechAdd_HighSeverity'!X50</f>
        <v/>
      </c>
      <c r="AY50">
        <f>'2_MechAdd_HighSeverity'!Y50</f>
        <v/>
      </c>
      <c r="AZ50">
        <f>'2_MechAdd_LowSeverity'!Z50</f>
        <v/>
      </c>
      <c r="BA50">
        <f>'2_MechAdd_LowSeverity'!AA50</f>
        <v/>
      </c>
      <c r="BB50">
        <f>'2_MechAdd_LowSeverity'!AB50</f>
        <v/>
      </c>
      <c r="BC50">
        <f>'2_MechAdd_LowSeverity'!AC50</f>
        <v/>
      </c>
      <c r="BD50">
        <f>'2_MechAdd_ModSeverity'!AA50</f>
        <v/>
      </c>
      <c r="BE50">
        <f>'2_MechAdd_ModSeverity'!AB50</f>
        <v/>
      </c>
      <c r="BF50">
        <f>'2_MechAdd_ModSeverity'!AC50</f>
        <v/>
      </c>
      <c r="BG50">
        <f>'2_MechAdd_HighSeverity'!AA50</f>
        <v/>
      </c>
      <c r="BH50">
        <f>'2_MechAdd_HighSeverity'!AB50</f>
        <v/>
      </c>
      <c r="BI50">
        <f>'2_MechAdd_HighSeverity'!AC50</f>
        <v/>
      </c>
    </row>
    <row r="51">
      <c r="A51" s="34">
        <f>'2_MechAdd_Script'!A51</f>
        <v/>
      </c>
      <c r="B51">
        <f>'2_MechAdd_LowSeverity'!F51</f>
        <v/>
      </c>
      <c r="C51">
        <f>'2_MechAdd_LowSeverity'!G51</f>
        <v/>
      </c>
      <c r="D51">
        <f>'2_MechAdd_LowSeverity'!H51</f>
        <v/>
      </c>
      <c r="E51">
        <f>'2_MechAdd_LowSeverity'!I51</f>
        <v/>
      </c>
      <c r="F51">
        <f>'2_MechAdd_ModSeverity'!G51</f>
        <v/>
      </c>
      <c r="G51">
        <f>'2_MechAdd_ModSeverity'!H51</f>
        <v/>
      </c>
      <c r="H51">
        <f>'2_MechAdd_ModSeverity'!I51</f>
        <v/>
      </c>
      <c r="I51">
        <f>'2_MechAdd_HighSeverity'!G51</f>
        <v/>
      </c>
      <c r="J51">
        <f>'2_MechAdd_HighSeverity'!H51</f>
        <v/>
      </c>
      <c r="K51">
        <f>'2_MechAdd_HighSeverity'!I51</f>
        <v/>
      </c>
      <c r="L51">
        <f>'2_MechAdd_LowSeverity'!J51</f>
        <v/>
      </c>
      <c r="M51">
        <f>'2_MechAdd_LowSeverity'!K51</f>
        <v/>
      </c>
      <c r="N51">
        <f>'2_MechAdd_LowSeverity'!L51</f>
        <v/>
      </c>
      <c r="O51">
        <f>'2_MechAdd_LowSeverity'!M51</f>
        <v/>
      </c>
      <c r="P51">
        <f>'2_MechAdd_ModSeverity'!K51</f>
        <v/>
      </c>
      <c r="Q51">
        <f>'2_MechAdd_ModSeverity'!L51</f>
        <v/>
      </c>
      <c r="R51">
        <f>'2_MechAdd_ModSeverity'!M51</f>
        <v/>
      </c>
      <c r="S51">
        <f>'2_MechAdd_HighSeverity'!K51</f>
        <v/>
      </c>
      <c r="T51">
        <f>'2_MechAdd_HighSeverity'!L51</f>
        <v/>
      </c>
      <c r="U51">
        <f>'2_MechAdd_HighSeverity'!M51</f>
        <v/>
      </c>
      <c r="V51">
        <f>'2_MechAdd_LowSeverity'!N51</f>
        <v/>
      </c>
      <c r="W51">
        <f>'2_MechAdd_LowSeverity'!O51</f>
        <v/>
      </c>
      <c r="X51">
        <f>'2_MechAdd_LowSeverity'!P51</f>
        <v/>
      </c>
      <c r="Y51">
        <f>'2_MechAdd_LowSeverity'!Q51</f>
        <v/>
      </c>
      <c r="Z51">
        <f>'2_MechAdd_ModSeverity'!O51</f>
        <v/>
      </c>
      <c r="AA51">
        <f>'2_MechAdd_ModSeverity'!P51</f>
        <v/>
      </c>
      <c r="AB51">
        <f>'2_MechAdd_ModSeverity'!Q51</f>
        <v/>
      </c>
      <c r="AC51">
        <f>'2_MechAdd_HighSeverity'!O51</f>
        <v/>
      </c>
      <c r="AD51">
        <f>'2_MechAdd_HighSeverity'!P51</f>
        <v/>
      </c>
      <c r="AE51">
        <f>'2_MechAdd_HighSeverity'!Q51</f>
        <v/>
      </c>
      <c r="AF51">
        <f>'2_MechAdd_LowSeverity'!R51</f>
        <v/>
      </c>
      <c r="AG51">
        <f>'2_MechAdd_LowSeverity'!S51</f>
        <v/>
      </c>
      <c r="AH51">
        <f>'2_MechAdd_LowSeverity'!T51</f>
        <v/>
      </c>
      <c r="AI51">
        <f>'2_MechAdd_LowSeverity'!U51</f>
        <v/>
      </c>
      <c r="AJ51">
        <f>'2_MechAdd_ModSeverity'!S51</f>
        <v/>
      </c>
      <c r="AK51">
        <f>'2_MechAdd_ModSeverity'!T51</f>
        <v/>
      </c>
      <c r="AL51">
        <f>'2_MechAdd_ModSeverity'!U51</f>
        <v/>
      </c>
      <c r="AM51">
        <f>'2_MechAdd_HighSeverity'!S51</f>
        <v/>
      </c>
      <c r="AN51">
        <f>'2_MechAdd_HighSeverity'!T51</f>
        <v/>
      </c>
      <c r="AO51">
        <f>'2_MechAdd_HighSeverity'!U51</f>
        <v/>
      </c>
      <c r="AP51">
        <f>'2_MechAdd_LowSeverity'!V51</f>
        <v/>
      </c>
      <c r="AQ51">
        <f>'2_MechAdd_LowSeverity'!W51</f>
        <v/>
      </c>
      <c r="AR51">
        <f>'2_MechAdd_LowSeverity'!X51</f>
        <v/>
      </c>
      <c r="AS51">
        <f>'2_MechAdd_LowSeverity'!Y51</f>
        <v/>
      </c>
      <c r="AT51">
        <f>'2_MechAdd_ModSeverity'!W51</f>
        <v/>
      </c>
      <c r="AU51">
        <f>'2_MechAdd_ModSeverity'!X51</f>
        <v/>
      </c>
      <c r="AV51">
        <f>'2_MechAdd_ModSeverity'!Y51</f>
        <v/>
      </c>
      <c r="AW51">
        <f>'2_MechAdd_HighSeverity'!W51</f>
        <v/>
      </c>
      <c r="AX51">
        <f>'2_MechAdd_HighSeverity'!X51</f>
        <v/>
      </c>
      <c r="AY51">
        <f>'2_MechAdd_HighSeverity'!Y51</f>
        <v/>
      </c>
      <c r="AZ51">
        <f>'2_MechAdd_LowSeverity'!Z51</f>
        <v/>
      </c>
      <c r="BA51">
        <f>'2_MechAdd_LowSeverity'!AA51</f>
        <v/>
      </c>
      <c r="BB51">
        <f>'2_MechAdd_LowSeverity'!AB51</f>
        <v/>
      </c>
      <c r="BC51">
        <f>'2_MechAdd_LowSeverity'!AC51</f>
        <v/>
      </c>
      <c r="BD51">
        <f>'2_MechAdd_ModSeverity'!AA51</f>
        <v/>
      </c>
      <c r="BE51">
        <f>'2_MechAdd_ModSeverity'!AB51</f>
        <v/>
      </c>
      <c r="BF51">
        <f>'2_MechAdd_ModSeverity'!AC51</f>
        <v/>
      </c>
      <c r="BG51">
        <f>'2_MechAdd_HighSeverity'!AA51</f>
        <v/>
      </c>
      <c r="BH51">
        <f>'2_MechAdd_HighSeverity'!AB51</f>
        <v/>
      </c>
      <c r="BI51">
        <f>'2_MechAdd_HighSeverity'!AC51</f>
        <v/>
      </c>
    </row>
    <row r="52">
      <c r="A52" s="34">
        <f>'2_MechAdd_Script'!A52</f>
        <v/>
      </c>
      <c r="B52">
        <f>'2_MechAdd_LowSeverity'!F52</f>
        <v/>
      </c>
      <c r="C52">
        <f>'2_MechAdd_LowSeverity'!G52</f>
        <v/>
      </c>
      <c r="D52">
        <f>'2_MechAdd_LowSeverity'!H52</f>
        <v/>
      </c>
      <c r="E52">
        <f>'2_MechAdd_LowSeverity'!I52</f>
        <v/>
      </c>
      <c r="F52">
        <f>'2_MechAdd_ModSeverity'!G52</f>
        <v/>
      </c>
      <c r="G52">
        <f>'2_MechAdd_ModSeverity'!H52</f>
        <v/>
      </c>
      <c r="H52">
        <f>'2_MechAdd_ModSeverity'!I52</f>
        <v/>
      </c>
      <c r="I52">
        <f>'2_MechAdd_HighSeverity'!G52</f>
        <v/>
      </c>
      <c r="J52">
        <f>'2_MechAdd_HighSeverity'!H52</f>
        <v/>
      </c>
      <c r="K52">
        <f>'2_MechAdd_HighSeverity'!I52</f>
        <v/>
      </c>
      <c r="L52">
        <f>'2_MechAdd_LowSeverity'!J52</f>
        <v/>
      </c>
      <c r="M52">
        <f>'2_MechAdd_LowSeverity'!K52</f>
        <v/>
      </c>
      <c r="N52">
        <f>'2_MechAdd_LowSeverity'!L52</f>
        <v/>
      </c>
      <c r="O52">
        <f>'2_MechAdd_LowSeverity'!M52</f>
        <v/>
      </c>
      <c r="P52">
        <f>'2_MechAdd_ModSeverity'!K52</f>
        <v/>
      </c>
      <c r="Q52">
        <f>'2_MechAdd_ModSeverity'!L52</f>
        <v/>
      </c>
      <c r="R52">
        <f>'2_MechAdd_ModSeverity'!M52</f>
        <v/>
      </c>
      <c r="S52">
        <f>'2_MechAdd_HighSeverity'!K52</f>
        <v/>
      </c>
      <c r="T52">
        <f>'2_MechAdd_HighSeverity'!L52</f>
        <v/>
      </c>
      <c r="U52">
        <f>'2_MechAdd_HighSeverity'!M52</f>
        <v/>
      </c>
      <c r="V52">
        <f>'2_MechAdd_LowSeverity'!N52</f>
        <v/>
      </c>
      <c r="W52">
        <f>'2_MechAdd_LowSeverity'!O52</f>
        <v/>
      </c>
      <c r="X52">
        <f>'2_MechAdd_LowSeverity'!P52</f>
        <v/>
      </c>
      <c r="Y52">
        <f>'2_MechAdd_LowSeverity'!Q52</f>
        <v/>
      </c>
      <c r="Z52">
        <f>'2_MechAdd_ModSeverity'!O52</f>
        <v/>
      </c>
      <c r="AA52">
        <f>'2_MechAdd_ModSeverity'!P52</f>
        <v/>
      </c>
      <c r="AB52">
        <f>'2_MechAdd_ModSeverity'!Q52</f>
        <v/>
      </c>
      <c r="AC52">
        <f>'2_MechAdd_HighSeverity'!O52</f>
        <v/>
      </c>
      <c r="AD52">
        <f>'2_MechAdd_HighSeverity'!P52</f>
        <v/>
      </c>
      <c r="AE52">
        <f>'2_MechAdd_HighSeverity'!Q52</f>
        <v/>
      </c>
      <c r="AF52">
        <f>'2_MechAdd_LowSeverity'!R52</f>
        <v/>
      </c>
      <c r="AG52">
        <f>'2_MechAdd_LowSeverity'!S52</f>
        <v/>
      </c>
      <c r="AH52">
        <f>'2_MechAdd_LowSeverity'!T52</f>
        <v/>
      </c>
      <c r="AI52">
        <f>'2_MechAdd_LowSeverity'!U52</f>
        <v/>
      </c>
      <c r="AJ52">
        <f>'2_MechAdd_ModSeverity'!S52</f>
        <v/>
      </c>
      <c r="AK52">
        <f>'2_MechAdd_ModSeverity'!T52</f>
        <v/>
      </c>
      <c r="AL52">
        <f>'2_MechAdd_ModSeverity'!U52</f>
        <v/>
      </c>
      <c r="AM52">
        <f>'2_MechAdd_HighSeverity'!S52</f>
        <v/>
      </c>
      <c r="AN52">
        <f>'2_MechAdd_HighSeverity'!T52</f>
        <v/>
      </c>
      <c r="AO52">
        <f>'2_MechAdd_HighSeverity'!U52</f>
        <v/>
      </c>
      <c r="AP52">
        <f>'2_MechAdd_LowSeverity'!V52</f>
        <v/>
      </c>
      <c r="AQ52">
        <f>'2_MechAdd_LowSeverity'!W52</f>
        <v/>
      </c>
      <c r="AR52">
        <f>'2_MechAdd_LowSeverity'!X52</f>
        <v/>
      </c>
      <c r="AS52">
        <f>'2_MechAdd_LowSeverity'!Y52</f>
        <v/>
      </c>
      <c r="AT52">
        <f>'2_MechAdd_ModSeverity'!W52</f>
        <v/>
      </c>
      <c r="AU52">
        <f>'2_MechAdd_ModSeverity'!X52</f>
        <v/>
      </c>
      <c r="AV52">
        <f>'2_MechAdd_ModSeverity'!Y52</f>
        <v/>
      </c>
      <c r="AW52">
        <f>'2_MechAdd_HighSeverity'!W52</f>
        <v/>
      </c>
      <c r="AX52">
        <f>'2_MechAdd_HighSeverity'!X52</f>
        <v/>
      </c>
      <c r="AY52">
        <f>'2_MechAdd_HighSeverity'!Y52</f>
        <v/>
      </c>
      <c r="AZ52">
        <f>'2_MechAdd_LowSeverity'!Z52</f>
        <v/>
      </c>
      <c r="BA52">
        <f>'2_MechAdd_LowSeverity'!AA52</f>
        <v/>
      </c>
      <c r="BB52">
        <f>'2_MechAdd_LowSeverity'!AB52</f>
        <v/>
      </c>
      <c r="BC52">
        <f>'2_MechAdd_LowSeverity'!AC52</f>
        <v/>
      </c>
      <c r="BD52">
        <f>'2_MechAdd_ModSeverity'!AA52</f>
        <v/>
      </c>
      <c r="BE52">
        <f>'2_MechAdd_ModSeverity'!AB52</f>
        <v/>
      </c>
      <c r="BF52">
        <f>'2_MechAdd_ModSeverity'!AC52</f>
        <v/>
      </c>
      <c r="BG52">
        <f>'2_MechAdd_HighSeverity'!AA52</f>
        <v/>
      </c>
      <c r="BH52">
        <f>'2_MechAdd_HighSeverity'!AB52</f>
        <v/>
      </c>
      <c r="BI52">
        <f>'2_MechAdd_HighSeverity'!AC52</f>
        <v/>
      </c>
    </row>
    <row r="53">
      <c r="A53" s="34">
        <f>'2_MechAdd_Script'!A53</f>
        <v/>
      </c>
      <c r="B53">
        <f>'2_MechAdd_LowSeverity'!F53</f>
        <v/>
      </c>
      <c r="C53">
        <f>'2_MechAdd_LowSeverity'!G53</f>
        <v/>
      </c>
      <c r="D53">
        <f>'2_MechAdd_LowSeverity'!H53</f>
        <v/>
      </c>
      <c r="E53">
        <f>'2_MechAdd_LowSeverity'!I53</f>
        <v/>
      </c>
      <c r="F53">
        <f>'2_MechAdd_ModSeverity'!G53</f>
        <v/>
      </c>
      <c r="G53">
        <f>'2_MechAdd_ModSeverity'!H53</f>
        <v/>
      </c>
      <c r="H53">
        <f>'2_MechAdd_ModSeverity'!I53</f>
        <v/>
      </c>
      <c r="I53">
        <f>'2_MechAdd_HighSeverity'!G53</f>
        <v/>
      </c>
      <c r="J53">
        <f>'2_MechAdd_HighSeverity'!H53</f>
        <v/>
      </c>
      <c r="K53">
        <f>'2_MechAdd_HighSeverity'!I53</f>
        <v/>
      </c>
      <c r="L53">
        <f>'2_MechAdd_LowSeverity'!J53</f>
        <v/>
      </c>
      <c r="M53">
        <f>'2_MechAdd_LowSeverity'!K53</f>
        <v/>
      </c>
      <c r="N53">
        <f>'2_MechAdd_LowSeverity'!L53</f>
        <v/>
      </c>
      <c r="O53">
        <f>'2_MechAdd_LowSeverity'!M53</f>
        <v/>
      </c>
      <c r="P53">
        <f>'2_MechAdd_ModSeverity'!K53</f>
        <v/>
      </c>
      <c r="Q53">
        <f>'2_MechAdd_ModSeverity'!L53</f>
        <v/>
      </c>
      <c r="R53">
        <f>'2_MechAdd_ModSeverity'!M53</f>
        <v/>
      </c>
      <c r="S53">
        <f>'2_MechAdd_HighSeverity'!K53</f>
        <v/>
      </c>
      <c r="T53">
        <f>'2_MechAdd_HighSeverity'!L53</f>
        <v/>
      </c>
      <c r="U53">
        <f>'2_MechAdd_HighSeverity'!M53</f>
        <v/>
      </c>
      <c r="V53">
        <f>'2_MechAdd_LowSeverity'!N53</f>
        <v/>
      </c>
      <c r="W53">
        <f>'2_MechAdd_LowSeverity'!O53</f>
        <v/>
      </c>
      <c r="X53">
        <f>'2_MechAdd_LowSeverity'!P53</f>
        <v/>
      </c>
      <c r="Y53">
        <f>'2_MechAdd_LowSeverity'!Q53</f>
        <v/>
      </c>
      <c r="Z53">
        <f>'2_MechAdd_ModSeverity'!O53</f>
        <v/>
      </c>
      <c r="AA53">
        <f>'2_MechAdd_ModSeverity'!P53</f>
        <v/>
      </c>
      <c r="AB53">
        <f>'2_MechAdd_ModSeverity'!Q53</f>
        <v/>
      </c>
      <c r="AC53">
        <f>'2_MechAdd_HighSeverity'!O53</f>
        <v/>
      </c>
      <c r="AD53">
        <f>'2_MechAdd_HighSeverity'!P53</f>
        <v/>
      </c>
      <c r="AE53">
        <f>'2_MechAdd_HighSeverity'!Q53</f>
        <v/>
      </c>
      <c r="AF53">
        <f>'2_MechAdd_LowSeverity'!R53</f>
        <v/>
      </c>
      <c r="AG53">
        <f>'2_MechAdd_LowSeverity'!S53</f>
        <v/>
      </c>
      <c r="AH53">
        <f>'2_MechAdd_LowSeverity'!T53</f>
        <v/>
      </c>
      <c r="AI53">
        <f>'2_MechAdd_LowSeverity'!U53</f>
        <v/>
      </c>
      <c r="AJ53">
        <f>'2_MechAdd_ModSeverity'!S53</f>
        <v/>
      </c>
      <c r="AK53">
        <f>'2_MechAdd_ModSeverity'!T53</f>
        <v/>
      </c>
      <c r="AL53">
        <f>'2_MechAdd_ModSeverity'!U53</f>
        <v/>
      </c>
      <c r="AM53">
        <f>'2_MechAdd_HighSeverity'!S53</f>
        <v/>
      </c>
      <c r="AN53">
        <f>'2_MechAdd_HighSeverity'!T53</f>
        <v/>
      </c>
      <c r="AO53">
        <f>'2_MechAdd_HighSeverity'!U53</f>
        <v/>
      </c>
      <c r="AP53">
        <f>'2_MechAdd_LowSeverity'!V53</f>
        <v/>
      </c>
      <c r="AQ53">
        <f>'2_MechAdd_LowSeverity'!W53</f>
        <v/>
      </c>
      <c r="AR53">
        <f>'2_MechAdd_LowSeverity'!X53</f>
        <v/>
      </c>
      <c r="AS53">
        <f>'2_MechAdd_LowSeverity'!Y53</f>
        <v/>
      </c>
      <c r="AT53">
        <f>'2_MechAdd_ModSeverity'!W53</f>
        <v/>
      </c>
      <c r="AU53">
        <f>'2_MechAdd_ModSeverity'!X53</f>
        <v/>
      </c>
      <c r="AV53">
        <f>'2_MechAdd_ModSeverity'!Y53</f>
        <v/>
      </c>
      <c r="AW53">
        <f>'2_MechAdd_HighSeverity'!W53</f>
        <v/>
      </c>
      <c r="AX53">
        <f>'2_MechAdd_HighSeverity'!X53</f>
        <v/>
      </c>
      <c r="AY53">
        <f>'2_MechAdd_HighSeverity'!Y53</f>
        <v/>
      </c>
      <c r="AZ53">
        <f>'2_MechAdd_LowSeverity'!Z53</f>
        <v/>
      </c>
      <c r="BA53">
        <f>'2_MechAdd_LowSeverity'!AA53</f>
        <v/>
      </c>
      <c r="BB53">
        <f>'2_MechAdd_LowSeverity'!AB53</f>
        <v/>
      </c>
      <c r="BC53">
        <f>'2_MechAdd_LowSeverity'!AC53</f>
        <v/>
      </c>
      <c r="BD53">
        <f>'2_MechAdd_ModSeverity'!AA53</f>
        <v/>
      </c>
      <c r="BE53">
        <f>'2_MechAdd_ModSeverity'!AB53</f>
        <v/>
      </c>
      <c r="BF53">
        <f>'2_MechAdd_ModSeverity'!AC53</f>
        <v/>
      </c>
      <c r="BG53">
        <f>'2_MechAdd_HighSeverity'!AA53</f>
        <v/>
      </c>
      <c r="BH53">
        <f>'2_MechAdd_HighSeverity'!AB53</f>
        <v/>
      </c>
      <c r="BI53">
        <f>'2_MechAdd_HighSeverity'!AC53</f>
        <v/>
      </c>
    </row>
    <row r="54">
      <c r="A54" s="34">
        <f>'2_MechAdd_Script'!A54</f>
        <v/>
      </c>
      <c r="B54">
        <f>'2_MechAdd_LowSeverity'!F54</f>
        <v/>
      </c>
      <c r="C54">
        <f>'2_MechAdd_LowSeverity'!G54</f>
        <v/>
      </c>
      <c r="D54">
        <f>'2_MechAdd_LowSeverity'!H54</f>
        <v/>
      </c>
      <c r="E54">
        <f>'2_MechAdd_LowSeverity'!I54</f>
        <v/>
      </c>
      <c r="F54">
        <f>'2_MechAdd_ModSeverity'!G54</f>
        <v/>
      </c>
      <c r="G54">
        <f>'2_MechAdd_ModSeverity'!H54</f>
        <v/>
      </c>
      <c r="H54">
        <f>'2_MechAdd_ModSeverity'!I54</f>
        <v/>
      </c>
      <c r="I54">
        <f>'2_MechAdd_HighSeverity'!G54</f>
        <v/>
      </c>
      <c r="J54">
        <f>'2_MechAdd_HighSeverity'!H54</f>
        <v/>
      </c>
      <c r="K54">
        <f>'2_MechAdd_HighSeverity'!I54</f>
        <v/>
      </c>
      <c r="L54">
        <f>'2_MechAdd_LowSeverity'!J54</f>
        <v/>
      </c>
      <c r="M54">
        <f>'2_MechAdd_LowSeverity'!K54</f>
        <v/>
      </c>
      <c r="N54">
        <f>'2_MechAdd_LowSeverity'!L54</f>
        <v/>
      </c>
      <c r="O54">
        <f>'2_MechAdd_LowSeverity'!M54</f>
        <v/>
      </c>
      <c r="P54">
        <f>'2_MechAdd_ModSeverity'!K54</f>
        <v/>
      </c>
      <c r="Q54">
        <f>'2_MechAdd_ModSeverity'!L54</f>
        <v/>
      </c>
      <c r="R54">
        <f>'2_MechAdd_ModSeverity'!M54</f>
        <v/>
      </c>
      <c r="S54">
        <f>'2_MechAdd_HighSeverity'!K54</f>
        <v/>
      </c>
      <c r="T54">
        <f>'2_MechAdd_HighSeverity'!L54</f>
        <v/>
      </c>
      <c r="U54">
        <f>'2_MechAdd_HighSeverity'!M54</f>
        <v/>
      </c>
      <c r="V54">
        <f>'2_MechAdd_LowSeverity'!N54</f>
        <v/>
      </c>
      <c r="W54">
        <f>'2_MechAdd_LowSeverity'!O54</f>
        <v/>
      </c>
      <c r="X54">
        <f>'2_MechAdd_LowSeverity'!P54</f>
        <v/>
      </c>
      <c r="Y54">
        <f>'2_MechAdd_LowSeverity'!Q54</f>
        <v/>
      </c>
      <c r="Z54">
        <f>'2_MechAdd_ModSeverity'!O54</f>
        <v/>
      </c>
      <c r="AA54">
        <f>'2_MechAdd_ModSeverity'!P54</f>
        <v/>
      </c>
      <c r="AB54">
        <f>'2_MechAdd_ModSeverity'!Q54</f>
        <v/>
      </c>
      <c r="AC54">
        <f>'2_MechAdd_HighSeverity'!O54</f>
        <v/>
      </c>
      <c r="AD54">
        <f>'2_MechAdd_HighSeverity'!P54</f>
        <v/>
      </c>
      <c r="AE54">
        <f>'2_MechAdd_HighSeverity'!Q54</f>
        <v/>
      </c>
      <c r="AF54">
        <f>'2_MechAdd_LowSeverity'!R54</f>
        <v/>
      </c>
      <c r="AG54">
        <f>'2_MechAdd_LowSeverity'!S54</f>
        <v/>
      </c>
      <c r="AH54">
        <f>'2_MechAdd_LowSeverity'!T54</f>
        <v/>
      </c>
      <c r="AI54">
        <f>'2_MechAdd_LowSeverity'!U54</f>
        <v/>
      </c>
      <c r="AJ54">
        <f>'2_MechAdd_ModSeverity'!S54</f>
        <v/>
      </c>
      <c r="AK54">
        <f>'2_MechAdd_ModSeverity'!T54</f>
        <v/>
      </c>
      <c r="AL54">
        <f>'2_MechAdd_ModSeverity'!U54</f>
        <v/>
      </c>
      <c r="AM54">
        <f>'2_MechAdd_HighSeverity'!S54</f>
        <v/>
      </c>
      <c r="AN54">
        <f>'2_MechAdd_HighSeverity'!T54</f>
        <v/>
      </c>
      <c r="AO54">
        <f>'2_MechAdd_HighSeverity'!U54</f>
        <v/>
      </c>
      <c r="AP54">
        <f>'2_MechAdd_LowSeverity'!V54</f>
        <v/>
      </c>
      <c r="AQ54">
        <f>'2_MechAdd_LowSeverity'!W54</f>
        <v/>
      </c>
      <c r="AR54">
        <f>'2_MechAdd_LowSeverity'!X54</f>
        <v/>
      </c>
      <c r="AS54">
        <f>'2_MechAdd_LowSeverity'!Y54</f>
        <v/>
      </c>
      <c r="AT54">
        <f>'2_MechAdd_ModSeverity'!W54</f>
        <v/>
      </c>
      <c r="AU54">
        <f>'2_MechAdd_ModSeverity'!X54</f>
        <v/>
      </c>
      <c r="AV54">
        <f>'2_MechAdd_ModSeverity'!Y54</f>
        <v/>
      </c>
      <c r="AW54">
        <f>'2_MechAdd_HighSeverity'!W54</f>
        <v/>
      </c>
      <c r="AX54">
        <f>'2_MechAdd_HighSeverity'!X54</f>
        <v/>
      </c>
      <c r="AY54">
        <f>'2_MechAdd_HighSeverity'!Y54</f>
        <v/>
      </c>
      <c r="AZ54">
        <f>'2_MechAdd_LowSeverity'!Z54</f>
        <v/>
      </c>
      <c r="BA54">
        <f>'2_MechAdd_LowSeverity'!AA54</f>
        <v/>
      </c>
      <c r="BB54">
        <f>'2_MechAdd_LowSeverity'!AB54</f>
        <v/>
      </c>
      <c r="BC54">
        <f>'2_MechAdd_LowSeverity'!AC54</f>
        <v/>
      </c>
      <c r="BD54">
        <f>'2_MechAdd_ModSeverity'!AA54</f>
        <v/>
      </c>
      <c r="BE54">
        <f>'2_MechAdd_ModSeverity'!AB54</f>
        <v/>
      </c>
      <c r="BF54">
        <f>'2_MechAdd_ModSeverity'!AC54</f>
        <v/>
      </c>
      <c r="BG54">
        <f>'2_MechAdd_HighSeverity'!AA54</f>
        <v/>
      </c>
      <c r="BH54">
        <f>'2_MechAdd_HighSeverity'!AB54</f>
        <v/>
      </c>
      <c r="BI54">
        <f>'2_MechAdd_HighSeverity'!AC54</f>
        <v/>
      </c>
    </row>
    <row r="55">
      <c r="A55" s="34">
        <f>'2_MechAdd_Script'!A55</f>
        <v/>
      </c>
      <c r="B55">
        <f>'2_MechAdd_LowSeverity'!F55</f>
        <v/>
      </c>
      <c r="C55">
        <f>'2_MechAdd_LowSeverity'!G55</f>
        <v/>
      </c>
      <c r="D55">
        <f>'2_MechAdd_LowSeverity'!H55</f>
        <v/>
      </c>
      <c r="E55">
        <f>'2_MechAdd_LowSeverity'!I55</f>
        <v/>
      </c>
      <c r="F55">
        <f>'2_MechAdd_ModSeverity'!G55</f>
        <v/>
      </c>
      <c r="G55">
        <f>'2_MechAdd_ModSeverity'!H55</f>
        <v/>
      </c>
      <c r="H55">
        <f>'2_MechAdd_ModSeverity'!I55</f>
        <v/>
      </c>
      <c r="I55">
        <f>'2_MechAdd_HighSeverity'!G55</f>
        <v/>
      </c>
      <c r="J55">
        <f>'2_MechAdd_HighSeverity'!H55</f>
        <v/>
      </c>
      <c r="K55">
        <f>'2_MechAdd_HighSeverity'!I55</f>
        <v/>
      </c>
      <c r="L55">
        <f>'2_MechAdd_LowSeverity'!J55</f>
        <v/>
      </c>
      <c r="M55">
        <f>'2_MechAdd_LowSeverity'!K55</f>
        <v/>
      </c>
      <c r="N55">
        <f>'2_MechAdd_LowSeverity'!L55</f>
        <v/>
      </c>
      <c r="O55">
        <f>'2_MechAdd_LowSeverity'!M55</f>
        <v/>
      </c>
      <c r="P55">
        <f>'2_MechAdd_ModSeverity'!K55</f>
        <v/>
      </c>
      <c r="Q55">
        <f>'2_MechAdd_ModSeverity'!L55</f>
        <v/>
      </c>
      <c r="R55">
        <f>'2_MechAdd_ModSeverity'!M55</f>
        <v/>
      </c>
      <c r="S55">
        <f>'2_MechAdd_HighSeverity'!K55</f>
        <v/>
      </c>
      <c r="T55">
        <f>'2_MechAdd_HighSeverity'!L55</f>
        <v/>
      </c>
      <c r="U55">
        <f>'2_MechAdd_HighSeverity'!M55</f>
        <v/>
      </c>
      <c r="V55">
        <f>'2_MechAdd_LowSeverity'!N55</f>
        <v/>
      </c>
      <c r="W55">
        <f>'2_MechAdd_LowSeverity'!O55</f>
        <v/>
      </c>
      <c r="X55">
        <f>'2_MechAdd_LowSeverity'!P55</f>
        <v/>
      </c>
      <c r="Y55">
        <f>'2_MechAdd_LowSeverity'!Q55</f>
        <v/>
      </c>
      <c r="Z55">
        <f>'2_MechAdd_ModSeverity'!O55</f>
        <v/>
      </c>
      <c r="AA55">
        <f>'2_MechAdd_ModSeverity'!P55</f>
        <v/>
      </c>
      <c r="AB55">
        <f>'2_MechAdd_ModSeverity'!Q55</f>
        <v/>
      </c>
      <c r="AC55">
        <f>'2_MechAdd_HighSeverity'!O55</f>
        <v/>
      </c>
      <c r="AD55">
        <f>'2_MechAdd_HighSeverity'!P55</f>
        <v/>
      </c>
      <c r="AE55">
        <f>'2_MechAdd_HighSeverity'!Q55</f>
        <v/>
      </c>
      <c r="AF55">
        <f>'2_MechAdd_LowSeverity'!R55</f>
        <v/>
      </c>
      <c r="AG55">
        <f>'2_MechAdd_LowSeverity'!S55</f>
        <v/>
      </c>
      <c r="AH55">
        <f>'2_MechAdd_LowSeverity'!T55</f>
        <v/>
      </c>
      <c r="AI55">
        <f>'2_MechAdd_LowSeverity'!U55</f>
        <v/>
      </c>
      <c r="AJ55">
        <f>'2_MechAdd_ModSeverity'!S55</f>
        <v/>
      </c>
      <c r="AK55">
        <f>'2_MechAdd_ModSeverity'!T55</f>
        <v/>
      </c>
      <c r="AL55">
        <f>'2_MechAdd_ModSeverity'!U55</f>
        <v/>
      </c>
      <c r="AM55">
        <f>'2_MechAdd_HighSeverity'!S55</f>
        <v/>
      </c>
      <c r="AN55">
        <f>'2_MechAdd_HighSeverity'!T55</f>
        <v/>
      </c>
      <c r="AO55">
        <f>'2_MechAdd_HighSeverity'!U55</f>
        <v/>
      </c>
      <c r="AP55">
        <f>'2_MechAdd_LowSeverity'!V55</f>
        <v/>
      </c>
      <c r="AQ55">
        <f>'2_MechAdd_LowSeverity'!W55</f>
        <v/>
      </c>
      <c r="AR55">
        <f>'2_MechAdd_LowSeverity'!X55</f>
        <v/>
      </c>
      <c r="AS55">
        <f>'2_MechAdd_LowSeverity'!Y55</f>
        <v/>
      </c>
      <c r="AT55">
        <f>'2_MechAdd_ModSeverity'!W55</f>
        <v/>
      </c>
      <c r="AU55">
        <f>'2_MechAdd_ModSeverity'!X55</f>
        <v/>
      </c>
      <c r="AV55">
        <f>'2_MechAdd_ModSeverity'!Y55</f>
        <v/>
      </c>
      <c r="AW55">
        <f>'2_MechAdd_HighSeverity'!W55</f>
        <v/>
      </c>
      <c r="AX55">
        <f>'2_MechAdd_HighSeverity'!X55</f>
        <v/>
      </c>
      <c r="AY55">
        <f>'2_MechAdd_HighSeverity'!Y55</f>
        <v/>
      </c>
      <c r="AZ55">
        <f>'2_MechAdd_LowSeverity'!Z55</f>
        <v/>
      </c>
      <c r="BA55">
        <f>'2_MechAdd_LowSeverity'!AA55</f>
        <v/>
      </c>
      <c r="BB55">
        <f>'2_MechAdd_LowSeverity'!AB55</f>
        <v/>
      </c>
      <c r="BC55">
        <f>'2_MechAdd_LowSeverity'!AC55</f>
        <v/>
      </c>
      <c r="BD55">
        <f>'2_MechAdd_ModSeverity'!AA55</f>
        <v/>
      </c>
      <c r="BE55">
        <f>'2_MechAdd_ModSeverity'!AB55</f>
        <v/>
      </c>
      <c r="BF55">
        <f>'2_MechAdd_ModSeverity'!AC55</f>
        <v/>
      </c>
      <c r="BG55">
        <f>'2_MechAdd_HighSeverity'!AA55</f>
        <v/>
      </c>
      <c r="BH55">
        <f>'2_MechAdd_HighSeverity'!AB55</f>
        <v/>
      </c>
      <c r="BI55">
        <f>'2_MechAdd_HighSeverity'!AC55</f>
        <v/>
      </c>
    </row>
    <row r="56">
      <c r="A56" s="34">
        <f>'2_MechAdd_Script'!A56</f>
        <v/>
      </c>
      <c r="B56">
        <f>'2_MechAdd_LowSeverity'!F56</f>
        <v/>
      </c>
      <c r="C56">
        <f>'2_MechAdd_LowSeverity'!G56</f>
        <v/>
      </c>
      <c r="D56">
        <f>'2_MechAdd_LowSeverity'!H56</f>
        <v/>
      </c>
      <c r="E56">
        <f>'2_MechAdd_LowSeverity'!I56</f>
        <v/>
      </c>
      <c r="F56">
        <f>'2_MechAdd_ModSeverity'!G56</f>
        <v/>
      </c>
      <c r="G56">
        <f>'2_MechAdd_ModSeverity'!H56</f>
        <v/>
      </c>
      <c r="H56">
        <f>'2_MechAdd_ModSeverity'!I56</f>
        <v/>
      </c>
      <c r="I56">
        <f>'2_MechAdd_HighSeverity'!G56</f>
        <v/>
      </c>
      <c r="J56">
        <f>'2_MechAdd_HighSeverity'!H56</f>
        <v/>
      </c>
      <c r="K56">
        <f>'2_MechAdd_HighSeverity'!I56</f>
        <v/>
      </c>
      <c r="L56">
        <f>'2_MechAdd_LowSeverity'!J56</f>
        <v/>
      </c>
      <c r="M56">
        <f>'2_MechAdd_LowSeverity'!K56</f>
        <v/>
      </c>
      <c r="N56">
        <f>'2_MechAdd_LowSeverity'!L56</f>
        <v/>
      </c>
      <c r="O56">
        <f>'2_MechAdd_LowSeverity'!M56</f>
        <v/>
      </c>
      <c r="P56">
        <f>'2_MechAdd_ModSeverity'!K56</f>
        <v/>
      </c>
      <c r="Q56">
        <f>'2_MechAdd_ModSeverity'!L56</f>
        <v/>
      </c>
      <c r="R56">
        <f>'2_MechAdd_ModSeverity'!M56</f>
        <v/>
      </c>
      <c r="S56">
        <f>'2_MechAdd_HighSeverity'!K56</f>
        <v/>
      </c>
      <c r="T56">
        <f>'2_MechAdd_HighSeverity'!L56</f>
        <v/>
      </c>
      <c r="U56">
        <f>'2_MechAdd_HighSeverity'!M56</f>
        <v/>
      </c>
      <c r="V56">
        <f>'2_MechAdd_LowSeverity'!N56</f>
        <v/>
      </c>
      <c r="W56">
        <f>'2_MechAdd_LowSeverity'!O56</f>
        <v/>
      </c>
      <c r="X56">
        <f>'2_MechAdd_LowSeverity'!P56</f>
        <v/>
      </c>
      <c r="Y56">
        <f>'2_MechAdd_LowSeverity'!Q56</f>
        <v/>
      </c>
      <c r="Z56">
        <f>'2_MechAdd_ModSeverity'!O56</f>
        <v/>
      </c>
      <c r="AA56">
        <f>'2_MechAdd_ModSeverity'!P56</f>
        <v/>
      </c>
      <c r="AB56">
        <f>'2_MechAdd_ModSeverity'!Q56</f>
        <v/>
      </c>
      <c r="AC56">
        <f>'2_MechAdd_HighSeverity'!O56</f>
        <v/>
      </c>
      <c r="AD56">
        <f>'2_MechAdd_HighSeverity'!P56</f>
        <v/>
      </c>
      <c r="AE56">
        <f>'2_MechAdd_HighSeverity'!Q56</f>
        <v/>
      </c>
      <c r="AF56">
        <f>'2_MechAdd_LowSeverity'!R56</f>
        <v/>
      </c>
      <c r="AG56">
        <f>'2_MechAdd_LowSeverity'!S56</f>
        <v/>
      </c>
      <c r="AH56">
        <f>'2_MechAdd_LowSeverity'!T56</f>
        <v/>
      </c>
      <c r="AI56">
        <f>'2_MechAdd_LowSeverity'!U56</f>
        <v/>
      </c>
      <c r="AJ56">
        <f>'2_MechAdd_ModSeverity'!S56</f>
        <v/>
      </c>
      <c r="AK56">
        <f>'2_MechAdd_ModSeverity'!T56</f>
        <v/>
      </c>
      <c r="AL56">
        <f>'2_MechAdd_ModSeverity'!U56</f>
        <v/>
      </c>
      <c r="AM56">
        <f>'2_MechAdd_HighSeverity'!S56</f>
        <v/>
      </c>
      <c r="AN56">
        <f>'2_MechAdd_HighSeverity'!T56</f>
        <v/>
      </c>
      <c r="AO56">
        <f>'2_MechAdd_HighSeverity'!U56</f>
        <v/>
      </c>
      <c r="AP56">
        <f>'2_MechAdd_LowSeverity'!V56</f>
        <v/>
      </c>
      <c r="AQ56">
        <f>'2_MechAdd_LowSeverity'!W56</f>
        <v/>
      </c>
      <c r="AR56">
        <f>'2_MechAdd_LowSeverity'!X56</f>
        <v/>
      </c>
      <c r="AS56">
        <f>'2_MechAdd_LowSeverity'!Y56</f>
        <v/>
      </c>
      <c r="AT56">
        <f>'2_MechAdd_ModSeverity'!W56</f>
        <v/>
      </c>
      <c r="AU56">
        <f>'2_MechAdd_ModSeverity'!X56</f>
        <v/>
      </c>
      <c r="AV56">
        <f>'2_MechAdd_ModSeverity'!Y56</f>
        <v/>
      </c>
      <c r="AW56">
        <f>'2_MechAdd_HighSeverity'!W56</f>
        <v/>
      </c>
      <c r="AX56">
        <f>'2_MechAdd_HighSeverity'!X56</f>
        <v/>
      </c>
      <c r="AY56">
        <f>'2_MechAdd_HighSeverity'!Y56</f>
        <v/>
      </c>
      <c r="AZ56">
        <f>'2_MechAdd_LowSeverity'!Z56</f>
        <v/>
      </c>
      <c r="BA56">
        <f>'2_MechAdd_LowSeverity'!AA56</f>
        <v/>
      </c>
      <c r="BB56">
        <f>'2_MechAdd_LowSeverity'!AB56</f>
        <v/>
      </c>
      <c r="BC56">
        <f>'2_MechAdd_LowSeverity'!AC56</f>
        <v/>
      </c>
      <c r="BD56">
        <f>'2_MechAdd_ModSeverity'!AA56</f>
        <v/>
      </c>
      <c r="BE56">
        <f>'2_MechAdd_ModSeverity'!AB56</f>
        <v/>
      </c>
      <c r="BF56">
        <f>'2_MechAdd_ModSeverity'!AC56</f>
        <v/>
      </c>
      <c r="BG56">
        <f>'2_MechAdd_HighSeverity'!AA56</f>
        <v/>
      </c>
      <c r="BH56">
        <f>'2_MechAdd_HighSeverity'!AB56</f>
        <v/>
      </c>
      <c r="BI56">
        <f>'2_MechAdd_HighSeverity'!AC56</f>
        <v/>
      </c>
    </row>
    <row r="57">
      <c r="A57" s="34">
        <f>'2_MechAdd_Script'!A57</f>
        <v/>
      </c>
      <c r="B57">
        <f>'2_MechAdd_LowSeverity'!F57</f>
        <v/>
      </c>
      <c r="C57">
        <f>'2_MechAdd_LowSeverity'!G57</f>
        <v/>
      </c>
      <c r="D57">
        <f>'2_MechAdd_LowSeverity'!H57</f>
        <v/>
      </c>
      <c r="E57">
        <f>'2_MechAdd_LowSeverity'!I57</f>
        <v/>
      </c>
      <c r="F57">
        <f>'2_MechAdd_ModSeverity'!G57</f>
        <v/>
      </c>
      <c r="G57">
        <f>'2_MechAdd_ModSeverity'!H57</f>
        <v/>
      </c>
      <c r="H57">
        <f>'2_MechAdd_ModSeverity'!I57</f>
        <v/>
      </c>
      <c r="I57">
        <f>'2_MechAdd_HighSeverity'!G57</f>
        <v/>
      </c>
      <c r="J57">
        <f>'2_MechAdd_HighSeverity'!H57</f>
        <v/>
      </c>
      <c r="K57">
        <f>'2_MechAdd_HighSeverity'!I57</f>
        <v/>
      </c>
      <c r="L57">
        <f>'2_MechAdd_LowSeverity'!J57</f>
        <v/>
      </c>
      <c r="M57">
        <f>'2_MechAdd_LowSeverity'!K57</f>
        <v/>
      </c>
      <c r="N57">
        <f>'2_MechAdd_LowSeverity'!L57</f>
        <v/>
      </c>
      <c r="O57">
        <f>'2_MechAdd_LowSeverity'!M57</f>
        <v/>
      </c>
      <c r="P57">
        <f>'2_MechAdd_ModSeverity'!K57</f>
        <v/>
      </c>
      <c r="Q57">
        <f>'2_MechAdd_ModSeverity'!L57</f>
        <v/>
      </c>
      <c r="R57">
        <f>'2_MechAdd_ModSeverity'!M57</f>
        <v/>
      </c>
      <c r="S57">
        <f>'2_MechAdd_HighSeverity'!K57</f>
        <v/>
      </c>
      <c r="T57">
        <f>'2_MechAdd_HighSeverity'!L57</f>
        <v/>
      </c>
      <c r="U57">
        <f>'2_MechAdd_HighSeverity'!M57</f>
        <v/>
      </c>
      <c r="V57">
        <f>'2_MechAdd_LowSeverity'!N57</f>
        <v/>
      </c>
      <c r="W57">
        <f>'2_MechAdd_LowSeverity'!O57</f>
        <v/>
      </c>
      <c r="X57">
        <f>'2_MechAdd_LowSeverity'!P57</f>
        <v/>
      </c>
      <c r="Y57">
        <f>'2_MechAdd_LowSeverity'!Q57</f>
        <v/>
      </c>
      <c r="Z57">
        <f>'2_MechAdd_ModSeverity'!O57</f>
        <v/>
      </c>
      <c r="AA57">
        <f>'2_MechAdd_ModSeverity'!P57</f>
        <v/>
      </c>
      <c r="AB57">
        <f>'2_MechAdd_ModSeverity'!Q57</f>
        <v/>
      </c>
      <c r="AC57">
        <f>'2_MechAdd_HighSeverity'!O57</f>
        <v/>
      </c>
      <c r="AD57">
        <f>'2_MechAdd_HighSeverity'!P57</f>
        <v/>
      </c>
      <c r="AE57">
        <f>'2_MechAdd_HighSeverity'!Q57</f>
        <v/>
      </c>
      <c r="AF57">
        <f>'2_MechAdd_LowSeverity'!R57</f>
        <v/>
      </c>
      <c r="AG57">
        <f>'2_MechAdd_LowSeverity'!S57</f>
        <v/>
      </c>
      <c r="AH57">
        <f>'2_MechAdd_LowSeverity'!T57</f>
        <v/>
      </c>
      <c r="AI57">
        <f>'2_MechAdd_LowSeverity'!U57</f>
        <v/>
      </c>
      <c r="AJ57">
        <f>'2_MechAdd_ModSeverity'!S57</f>
        <v/>
      </c>
      <c r="AK57">
        <f>'2_MechAdd_ModSeverity'!T57</f>
        <v/>
      </c>
      <c r="AL57">
        <f>'2_MechAdd_ModSeverity'!U57</f>
        <v/>
      </c>
      <c r="AM57">
        <f>'2_MechAdd_HighSeverity'!S57</f>
        <v/>
      </c>
      <c r="AN57">
        <f>'2_MechAdd_HighSeverity'!T57</f>
        <v/>
      </c>
      <c r="AO57">
        <f>'2_MechAdd_HighSeverity'!U57</f>
        <v/>
      </c>
      <c r="AP57">
        <f>'2_MechAdd_LowSeverity'!V57</f>
        <v/>
      </c>
      <c r="AQ57">
        <f>'2_MechAdd_LowSeverity'!W57</f>
        <v/>
      </c>
      <c r="AR57">
        <f>'2_MechAdd_LowSeverity'!X57</f>
        <v/>
      </c>
      <c r="AS57">
        <f>'2_MechAdd_LowSeverity'!Y57</f>
        <v/>
      </c>
      <c r="AT57">
        <f>'2_MechAdd_ModSeverity'!W57</f>
        <v/>
      </c>
      <c r="AU57">
        <f>'2_MechAdd_ModSeverity'!X57</f>
        <v/>
      </c>
      <c r="AV57">
        <f>'2_MechAdd_ModSeverity'!Y57</f>
        <v/>
      </c>
      <c r="AW57">
        <f>'2_MechAdd_HighSeverity'!W57</f>
        <v/>
      </c>
      <c r="AX57">
        <f>'2_MechAdd_HighSeverity'!X57</f>
        <v/>
      </c>
      <c r="AY57">
        <f>'2_MechAdd_HighSeverity'!Y57</f>
        <v/>
      </c>
      <c r="AZ57">
        <f>'2_MechAdd_LowSeverity'!Z57</f>
        <v/>
      </c>
      <c r="BA57">
        <f>'2_MechAdd_LowSeverity'!AA57</f>
        <v/>
      </c>
      <c r="BB57">
        <f>'2_MechAdd_LowSeverity'!AB57</f>
        <v/>
      </c>
      <c r="BC57">
        <f>'2_MechAdd_LowSeverity'!AC57</f>
        <v/>
      </c>
      <c r="BD57">
        <f>'2_MechAdd_ModSeverity'!AA57</f>
        <v/>
      </c>
      <c r="BE57">
        <f>'2_MechAdd_ModSeverity'!AB57</f>
        <v/>
      </c>
      <c r="BF57">
        <f>'2_MechAdd_ModSeverity'!AC57</f>
        <v/>
      </c>
      <c r="BG57">
        <f>'2_MechAdd_HighSeverity'!AA57</f>
        <v/>
      </c>
      <c r="BH57">
        <f>'2_MechAdd_HighSeverity'!AB57</f>
        <v/>
      </c>
      <c r="BI57">
        <f>'2_MechAdd_HighSeverity'!AC57</f>
        <v/>
      </c>
    </row>
    <row r="58">
      <c r="A58" s="34">
        <f>'2_MechAdd_Script'!A58</f>
        <v/>
      </c>
      <c r="B58">
        <f>'2_MechAdd_LowSeverity'!F58</f>
        <v/>
      </c>
      <c r="C58">
        <f>'2_MechAdd_LowSeverity'!G58</f>
        <v/>
      </c>
      <c r="D58">
        <f>'2_MechAdd_LowSeverity'!H58</f>
        <v/>
      </c>
      <c r="E58">
        <f>'2_MechAdd_LowSeverity'!I58</f>
        <v/>
      </c>
      <c r="F58">
        <f>'2_MechAdd_ModSeverity'!G58</f>
        <v/>
      </c>
      <c r="G58">
        <f>'2_MechAdd_ModSeverity'!H58</f>
        <v/>
      </c>
      <c r="H58">
        <f>'2_MechAdd_ModSeverity'!I58</f>
        <v/>
      </c>
      <c r="I58">
        <f>'2_MechAdd_HighSeverity'!G58</f>
        <v/>
      </c>
      <c r="J58">
        <f>'2_MechAdd_HighSeverity'!H58</f>
        <v/>
      </c>
      <c r="K58">
        <f>'2_MechAdd_HighSeverity'!I58</f>
        <v/>
      </c>
      <c r="L58">
        <f>'2_MechAdd_LowSeverity'!J58</f>
        <v/>
      </c>
      <c r="M58">
        <f>'2_MechAdd_LowSeverity'!K58</f>
        <v/>
      </c>
      <c r="N58">
        <f>'2_MechAdd_LowSeverity'!L58</f>
        <v/>
      </c>
      <c r="O58">
        <f>'2_MechAdd_LowSeverity'!M58</f>
        <v/>
      </c>
      <c r="P58">
        <f>'2_MechAdd_ModSeverity'!K58</f>
        <v/>
      </c>
      <c r="Q58">
        <f>'2_MechAdd_ModSeverity'!L58</f>
        <v/>
      </c>
      <c r="R58">
        <f>'2_MechAdd_ModSeverity'!M58</f>
        <v/>
      </c>
      <c r="S58">
        <f>'2_MechAdd_HighSeverity'!K58</f>
        <v/>
      </c>
      <c r="T58">
        <f>'2_MechAdd_HighSeverity'!L58</f>
        <v/>
      </c>
      <c r="U58">
        <f>'2_MechAdd_HighSeverity'!M58</f>
        <v/>
      </c>
      <c r="V58">
        <f>'2_MechAdd_LowSeverity'!N58</f>
        <v/>
      </c>
      <c r="W58">
        <f>'2_MechAdd_LowSeverity'!O58</f>
        <v/>
      </c>
      <c r="X58">
        <f>'2_MechAdd_LowSeverity'!P58</f>
        <v/>
      </c>
      <c r="Y58">
        <f>'2_MechAdd_LowSeverity'!Q58</f>
        <v/>
      </c>
      <c r="Z58">
        <f>'2_MechAdd_ModSeverity'!O58</f>
        <v/>
      </c>
      <c r="AA58">
        <f>'2_MechAdd_ModSeverity'!P58</f>
        <v/>
      </c>
      <c r="AB58">
        <f>'2_MechAdd_ModSeverity'!Q58</f>
        <v/>
      </c>
      <c r="AC58">
        <f>'2_MechAdd_HighSeverity'!O58</f>
        <v/>
      </c>
      <c r="AD58">
        <f>'2_MechAdd_HighSeverity'!P58</f>
        <v/>
      </c>
      <c r="AE58">
        <f>'2_MechAdd_HighSeverity'!Q58</f>
        <v/>
      </c>
      <c r="AF58">
        <f>'2_MechAdd_LowSeverity'!R58</f>
        <v/>
      </c>
      <c r="AG58">
        <f>'2_MechAdd_LowSeverity'!S58</f>
        <v/>
      </c>
      <c r="AH58">
        <f>'2_MechAdd_LowSeverity'!T58</f>
        <v/>
      </c>
      <c r="AI58">
        <f>'2_MechAdd_LowSeverity'!U58</f>
        <v/>
      </c>
      <c r="AJ58">
        <f>'2_MechAdd_ModSeverity'!S58</f>
        <v/>
      </c>
      <c r="AK58">
        <f>'2_MechAdd_ModSeverity'!T58</f>
        <v/>
      </c>
      <c r="AL58">
        <f>'2_MechAdd_ModSeverity'!U58</f>
        <v/>
      </c>
      <c r="AM58">
        <f>'2_MechAdd_HighSeverity'!S58</f>
        <v/>
      </c>
      <c r="AN58">
        <f>'2_MechAdd_HighSeverity'!T58</f>
        <v/>
      </c>
      <c r="AO58">
        <f>'2_MechAdd_HighSeverity'!U58</f>
        <v/>
      </c>
      <c r="AP58">
        <f>'2_MechAdd_LowSeverity'!V58</f>
        <v/>
      </c>
      <c r="AQ58">
        <f>'2_MechAdd_LowSeverity'!W58</f>
        <v/>
      </c>
      <c r="AR58">
        <f>'2_MechAdd_LowSeverity'!X58</f>
        <v/>
      </c>
      <c r="AS58">
        <f>'2_MechAdd_LowSeverity'!Y58</f>
        <v/>
      </c>
      <c r="AT58">
        <f>'2_MechAdd_ModSeverity'!W58</f>
        <v/>
      </c>
      <c r="AU58">
        <f>'2_MechAdd_ModSeverity'!X58</f>
        <v/>
      </c>
      <c r="AV58">
        <f>'2_MechAdd_ModSeverity'!Y58</f>
        <v/>
      </c>
      <c r="AW58">
        <f>'2_MechAdd_HighSeverity'!W58</f>
        <v/>
      </c>
      <c r="AX58">
        <f>'2_MechAdd_HighSeverity'!X58</f>
        <v/>
      </c>
      <c r="AY58">
        <f>'2_MechAdd_HighSeverity'!Y58</f>
        <v/>
      </c>
      <c r="AZ58">
        <f>'2_MechAdd_LowSeverity'!Z58</f>
        <v/>
      </c>
      <c r="BA58">
        <f>'2_MechAdd_LowSeverity'!AA58</f>
        <v/>
      </c>
      <c r="BB58">
        <f>'2_MechAdd_LowSeverity'!AB58</f>
        <v/>
      </c>
      <c r="BC58">
        <f>'2_MechAdd_LowSeverity'!AC58</f>
        <v/>
      </c>
      <c r="BD58">
        <f>'2_MechAdd_ModSeverity'!AA58</f>
        <v/>
      </c>
      <c r="BE58">
        <f>'2_MechAdd_ModSeverity'!AB58</f>
        <v/>
      </c>
      <c r="BF58">
        <f>'2_MechAdd_ModSeverity'!AC58</f>
        <v/>
      </c>
      <c r="BG58">
        <f>'2_MechAdd_HighSeverity'!AA58</f>
        <v/>
      </c>
      <c r="BH58">
        <f>'2_MechAdd_HighSeverity'!AB58</f>
        <v/>
      </c>
      <c r="BI58">
        <f>'2_MechAdd_HighSeverity'!AC58</f>
        <v/>
      </c>
    </row>
    <row r="59">
      <c r="A59" s="34">
        <f>'2_MechAdd_Script'!A59</f>
        <v/>
      </c>
      <c r="B59">
        <f>'2_MechAdd_LowSeverity'!F59</f>
        <v/>
      </c>
      <c r="C59">
        <f>'2_MechAdd_LowSeverity'!G59</f>
        <v/>
      </c>
      <c r="D59">
        <f>'2_MechAdd_LowSeverity'!H59</f>
        <v/>
      </c>
      <c r="E59">
        <f>'2_MechAdd_LowSeverity'!I59</f>
        <v/>
      </c>
      <c r="F59">
        <f>'2_MechAdd_ModSeverity'!G59</f>
        <v/>
      </c>
      <c r="G59">
        <f>'2_MechAdd_ModSeverity'!H59</f>
        <v/>
      </c>
      <c r="H59">
        <f>'2_MechAdd_ModSeverity'!I59</f>
        <v/>
      </c>
      <c r="I59">
        <f>'2_MechAdd_HighSeverity'!G59</f>
        <v/>
      </c>
      <c r="J59">
        <f>'2_MechAdd_HighSeverity'!H59</f>
        <v/>
      </c>
      <c r="K59">
        <f>'2_MechAdd_HighSeverity'!I59</f>
        <v/>
      </c>
      <c r="L59">
        <f>'2_MechAdd_LowSeverity'!J59</f>
        <v/>
      </c>
      <c r="M59">
        <f>'2_MechAdd_LowSeverity'!K59</f>
        <v/>
      </c>
      <c r="N59">
        <f>'2_MechAdd_LowSeverity'!L59</f>
        <v/>
      </c>
      <c r="O59">
        <f>'2_MechAdd_LowSeverity'!M59</f>
        <v/>
      </c>
      <c r="P59">
        <f>'2_MechAdd_ModSeverity'!K59</f>
        <v/>
      </c>
      <c r="Q59">
        <f>'2_MechAdd_ModSeverity'!L59</f>
        <v/>
      </c>
      <c r="R59">
        <f>'2_MechAdd_ModSeverity'!M59</f>
        <v/>
      </c>
      <c r="S59">
        <f>'2_MechAdd_HighSeverity'!K59</f>
        <v/>
      </c>
      <c r="T59">
        <f>'2_MechAdd_HighSeverity'!L59</f>
        <v/>
      </c>
      <c r="U59">
        <f>'2_MechAdd_HighSeverity'!M59</f>
        <v/>
      </c>
      <c r="V59">
        <f>'2_MechAdd_LowSeverity'!N59</f>
        <v/>
      </c>
      <c r="W59">
        <f>'2_MechAdd_LowSeverity'!O59</f>
        <v/>
      </c>
      <c r="X59">
        <f>'2_MechAdd_LowSeverity'!P59</f>
        <v/>
      </c>
      <c r="Y59">
        <f>'2_MechAdd_LowSeverity'!Q59</f>
        <v/>
      </c>
      <c r="Z59">
        <f>'2_MechAdd_ModSeverity'!O59</f>
        <v/>
      </c>
      <c r="AA59">
        <f>'2_MechAdd_ModSeverity'!P59</f>
        <v/>
      </c>
      <c r="AB59">
        <f>'2_MechAdd_ModSeverity'!Q59</f>
        <v/>
      </c>
      <c r="AC59">
        <f>'2_MechAdd_HighSeverity'!O59</f>
        <v/>
      </c>
      <c r="AD59">
        <f>'2_MechAdd_HighSeverity'!P59</f>
        <v/>
      </c>
      <c r="AE59">
        <f>'2_MechAdd_HighSeverity'!Q59</f>
        <v/>
      </c>
      <c r="AF59">
        <f>'2_MechAdd_LowSeverity'!R59</f>
        <v/>
      </c>
      <c r="AG59">
        <f>'2_MechAdd_LowSeverity'!S59</f>
        <v/>
      </c>
      <c r="AH59">
        <f>'2_MechAdd_LowSeverity'!T59</f>
        <v/>
      </c>
      <c r="AI59">
        <f>'2_MechAdd_LowSeverity'!U59</f>
        <v/>
      </c>
      <c r="AJ59">
        <f>'2_MechAdd_ModSeverity'!S59</f>
        <v/>
      </c>
      <c r="AK59">
        <f>'2_MechAdd_ModSeverity'!T59</f>
        <v/>
      </c>
      <c r="AL59">
        <f>'2_MechAdd_ModSeverity'!U59</f>
        <v/>
      </c>
      <c r="AM59">
        <f>'2_MechAdd_HighSeverity'!S59</f>
        <v/>
      </c>
      <c r="AN59">
        <f>'2_MechAdd_HighSeverity'!T59</f>
        <v/>
      </c>
      <c r="AO59">
        <f>'2_MechAdd_HighSeverity'!U59</f>
        <v/>
      </c>
      <c r="AP59">
        <f>'2_MechAdd_LowSeverity'!V59</f>
        <v/>
      </c>
      <c r="AQ59">
        <f>'2_MechAdd_LowSeverity'!W59</f>
        <v/>
      </c>
      <c r="AR59">
        <f>'2_MechAdd_LowSeverity'!X59</f>
        <v/>
      </c>
      <c r="AS59">
        <f>'2_MechAdd_LowSeverity'!Y59</f>
        <v/>
      </c>
      <c r="AT59">
        <f>'2_MechAdd_ModSeverity'!W59</f>
        <v/>
      </c>
      <c r="AU59">
        <f>'2_MechAdd_ModSeverity'!X59</f>
        <v/>
      </c>
      <c r="AV59">
        <f>'2_MechAdd_ModSeverity'!Y59</f>
        <v/>
      </c>
      <c r="AW59">
        <f>'2_MechAdd_HighSeverity'!W59</f>
        <v/>
      </c>
      <c r="AX59">
        <f>'2_MechAdd_HighSeverity'!X59</f>
        <v/>
      </c>
      <c r="AY59">
        <f>'2_MechAdd_HighSeverity'!Y59</f>
        <v/>
      </c>
      <c r="AZ59">
        <f>'2_MechAdd_LowSeverity'!Z59</f>
        <v/>
      </c>
      <c r="BA59">
        <f>'2_MechAdd_LowSeverity'!AA59</f>
        <v/>
      </c>
      <c r="BB59">
        <f>'2_MechAdd_LowSeverity'!AB59</f>
        <v/>
      </c>
      <c r="BC59">
        <f>'2_MechAdd_LowSeverity'!AC59</f>
        <v/>
      </c>
      <c r="BD59">
        <f>'2_MechAdd_ModSeverity'!AA59</f>
        <v/>
      </c>
      <c r="BE59">
        <f>'2_MechAdd_ModSeverity'!AB59</f>
        <v/>
      </c>
      <c r="BF59">
        <f>'2_MechAdd_ModSeverity'!AC59</f>
        <v/>
      </c>
      <c r="BG59">
        <f>'2_MechAdd_HighSeverity'!AA59</f>
        <v/>
      </c>
      <c r="BH59">
        <f>'2_MechAdd_HighSeverity'!AB59</f>
        <v/>
      </c>
      <c r="BI59">
        <f>'2_MechAdd_HighSeverity'!AC59</f>
        <v/>
      </c>
    </row>
    <row r="60">
      <c r="A60" s="34">
        <f>'2_MechAdd_Script'!A60</f>
        <v/>
      </c>
      <c r="B60">
        <f>'2_MechAdd_LowSeverity'!F60</f>
        <v/>
      </c>
      <c r="C60">
        <f>'2_MechAdd_LowSeverity'!G60</f>
        <v/>
      </c>
      <c r="D60">
        <f>'2_MechAdd_LowSeverity'!H60</f>
        <v/>
      </c>
      <c r="E60">
        <f>'2_MechAdd_LowSeverity'!I60</f>
        <v/>
      </c>
      <c r="F60">
        <f>'2_MechAdd_ModSeverity'!G60</f>
        <v/>
      </c>
      <c r="G60">
        <f>'2_MechAdd_ModSeverity'!H60</f>
        <v/>
      </c>
      <c r="H60">
        <f>'2_MechAdd_ModSeverity'!I60</f>
        <v/>
      </c>
      <c r="I60">
        <f>'2_MechAdd_HighSeverity'!G60</f>
        <v/>
      </c>
      <c r="J60">
        <f>'2_MechAdd_HighSeverity'!H60</f>
        <v/>
      </c>
      <c r="K60">
        <f>'2_MechAdd_HighSeverity'!I60</f>
        <v/>
      </c>
      <c r="L60">
        <f>'2_MechAdd_LowSeverity'!J60</f>
        <v/>
      </c>
      <c r="M60">
        <f>'2_MechAdd_LowSeverity'!K60</f>
        <v/>
      </c>
      <c r="N60">
        <f>'2_MechAdd_LowSeverity'!L60</f>
        <v/>
      </c>
      <c r="O60">
        <f>'2_MechAdd_LowSeverity'!M60</f>
        <v/>
      </c>
      <c r="P60">
        <f>'2_MechAdd_ModSeverity'!K60</f>
        <v/>
      </c>
      <c r="Q60">
        <f>'2_MechAdd_ModSeverity'!L60</f>
        <v/>
      </c>
      <c r="R60">
        <f>'2_MechAdd_ModSeverity'!M60</f>
        <v/>
      </c>
      <c r="S60">
        <f>'2_MechAdd_HighSeverity'!K60</f>
        <v/>
      </c>
      <c r="T60">
        <f>'2_MechAdd_HighSeverity'!L60</f>
        <v/>
      </c>
      <c r="U60">
        <f>'2_MechAdd_HighSeverity'!M60</f>
        <v/>
      </c>
      <c r="V60">
        <f>'2_MechAdd_LowSeverity'!N60</f>
        <v/>
      </c>
      <c r="W60">
        <f>'2_MechAdd_LowSeverity'!O60</f>
        <v/>
      </c>
      <c r="X60">
        <f>'2_MechAdd_LowSeverity'!P60</f>
        <v/>
      </c>
      <c r="Y60">
        <f>'2_MechAdd_LowSeverity'!Q60</f>
        <v/>
      </c>
      <c r="Z60">
        <f>'2_MechAdd_ModSeverity'!O60</f>
        <v/>
      </c>
      <c r="AA60">
        <f>'2_MechAdd_ModSeverity'!P60</f>
        <v/>
      </c>
      <c r="AB60">
        <f>'2_MechAdd_ModSeverity'!Q60</f>
        <v/>
      </c>
      <c r="AC60">
        <f>'2_MechAdd_HighSeverity'!O60</f>
        <v/>
      </c>
      <c r="AD60">
        <f>'2_MechAdd_HighSeverity'!P60</f>
        <v/>
      </c>
      <c r="AE60">
        <f>'2_MechAdd_HighSeverity'!Q60</f>
        <v/>
      </c>
      <c r="AF60">
        <f>'2_MechAdd_LowSeverity'!R60</f>
        <v/>
      </c>
      <c r="AG60">
        <f>'2_MechAdd_LowSeverity'!S60</f>
        <v/>
      </c>
      <c r="AH60">
        <f>'2_MechAdd_LowSeverity'!T60</f>
        <v/>
      </c>
      <c r="AI60">
        <f>'2_MechAdd_LowSeverity'!U60</f>
        <v/>
      </c>
      <c r="AJ60">
        <f>'2_MechAdd_ModSeverity'!S60</f>
        <v/>
      </c>
      <c r="AK60">
        <f>'2_MechAdd_ModSeverity'!T60</f>
        <v/>
      </c>
      <c r="AL60">
        <f>'2_MechAdd_ModSeverity'!U60</f>
        <v/>
      </c>
      <c r="AM60">
        <f>'2_MechAdd_HighSeverity'!S60</f>
        <v/>
      </c>
      <c r="AN60">
        <f>'2_MechAdd_HighSeverity'!T60</f>
        <v/>
      </c>
      <c r="AO60">
        <f>'2_MechAdd_HighSeverity'!U60</f>
        <v/>
      </c>
      <c r="AP60">
        <f>'2_MechAdd_LowSeverity'!V60</f>
        <v/>
      </c>
      <c r="AQ60">
        <f>'2_MechAdd_LowSeverity'!W60</f>
        <v/>
      </c>
      <c r="AR60">
        <f>'2_MechAdd_LowSeverity'!X60</f>
        <v/>
      </c>
      <c r="AS60">
        <f>'2_MechAdd_LowSeverity'!Y60</f>
        <v/>
      </c>
      <c r="AT60">
        <f>'2_MechAdd_ModSeverity'!W60</f>
        <v/>
      </c>
      <c r="AU60">
        <f>'2_MechAdd_ModSeverity'!X60</f>
        <v/>
      </c>
      <c r="AV60">
        <f>'2_MechAdd_ModSeverity'!Y60</f>
        <v/>
      </c>
      <c r="AW60">
        <f>'2_MechAdd_HighSeverity'!W60</f>
        <v/>
      </c>
      <c r="AX60">
        <f>'2_MechAdd_HighSeverity'!X60</f>
        <v/>
      </c>
      <c r="AY60">
        <f>'2_MechAdd_HighSeverity'!Y60</f>
        <v/>
      </c>
      <c r="AZ60">
        <f>'2_MechAdd_LowSeverity'!Z60</f>
        <v/>
      </c>
      <c r="BA60">
        <f>'2_MechAdd_LowSeverity'!AA60</f>
        <v/>
      </c>
      <c r="BB60">
        <f>'2_MechAdd_LowSeverity'!AB60</f>
        <v/>
      </c>
      <c r="BC60">
        <f>'2_MechAdd_LowSeverity'!AC60</f>
        <v/>
      </c>
      <c r="BD60">
        <f>'2_MechAdd_ModSeverity'!AA60</f>
        <v/>
      </c>
      <c r="BE60">
        <f>'2_MechAdd_ModSeverity'!AB60</f>
        <v/>
      </c>
      <c r="BF60">
        <f>'2_MechAdd_ModSeverity'!AC60</f>
        <v/>
      </c>
      <c r="BG60">
        <f>'2_MechAdd_HighSeverity'!AA60</f>
        <v/>
      </c>
      <c r="BH60">
        <f>'2_MechAdd_HighSeverity'!AB60</f>
        <v/>
      </c>
      <c r="BI60">
        <f>'2_MechAdd_HighSeverity'!AC60</f>
        <v/>
      </c>
    </row>
    <row r="61">
      <c r="A61" s="34">
        <f>'2_MechAdd_Script'!A61</f>
        <v/>
      </c>
      <c r="B61">
        <f>'2_MechAdd_LowSeverity'!F61</f>
        <v/>
      </c>
      <c r="C61">
        <f>'2_MechAdd_LowSeverity'!G61</f>
        <v/>
      </c>
      <c r="D61">
        <f>'2_MechAdd_LowSeverity'!H61</f>
        <v/>
      </c>
      <c r="E61">
        <f>'2_MechAdd_LowSeverity'!I61</f>
        <v/>
      </c>
      <c r="F61">
        <f>'2_MechAdd_ModSeverity'!G61</f>
        <v/>
      </c>
      <c r="G61">
        <f>'2_MechAdd_ModSeverity'!H61</f>
        <v/>
      </c>
      <c r="H61">
        <f>'2_MechAdd_ModSeverity'!I61</f>
        <v/>
      </c>
      <c r="I61">
        <f>'2_MechAdd_HighSeverity'!G61</f>
        <v/>
      </c>
      <c r="J61">
        <f>'2_MechAdd_HighSeverity'!H61</f>
        <v/>
      </c>
      <c r="K61">
        <f>'2_MechAdd_HighSeverity'!I61</f>
        <v/>
      </c>
      <c r="L61">
        <f>'2_MechAdd_LowSeverity'!J61</f>
        <v/>
      </c>
      <c r="M61">
        <f>'2_MechAdd_LowSeverity'!K61</f>
        <v/>
      </c>
      <c r="N61">
        <f>'2_MechAdd_LowSeverity'!L61</f>
        <v/>
      </c>
      <c r="O61">
        <f>'2_MechAdd_LowSeverity'!M61</f>
        <v/>
      </c>
      <c r="P61">
        <f>'2_MechAdd_ModSeverity'!K61</f>
        <v/>
      </c>
      <c r="Q61">
        <f>'2_MechAdd_ModSeverity'!L61</f>
        <v/>
      </c>
      <c r="R61">
        <f>'2_MechAdd_ModSeverity'!M61</f>
        <v/>
      </c>
      <c r="S61">
        <f>'2_MechAdd_HighSeverity'!K61</f>
        <v/>
      </c>
      <c r="T61">
        <f>'2_MechAdd_HighSeverity'!L61</f>
        <v/>
      </c>
      <c r="U61">
        <f>'2_MechAdd_HighSeverity'!M61</f>
        <v/>
      </c>
      <c r="V61">
        <f>'2_MechAdd_LowSeverity'!N61</f>
        <v/>
      </c>
      <c r="W61">
        <f>'2_MechAdd_LowSeverity'!O61</f>
        <v/>
      </c>
      <c r="X61">
        <f>'2_MechAdd_LowSeverity'!P61</f>
        <v/>
      </c>
      <c r="Y61">
        <f>'2_MechAdd_LowSeverity'!Q61</f>
        <v/>
      </c>
      <c r="Z61">
        <f>'2_MechAdd_ModSeverity'!O61</f>
        <v/>
      </c>
      <c r="AA61">
        <f>'2_MechAdd_ModSeverity'!P61</f>
        <v/>
      </c>
      <c r="AB61">
        <f>'2_MechAdd_ModSeverity'!Q61</f>
        <v/>
      </c>
      <c r="AC61">
        <f>'2_MechAdd_HighSeverity'!O61</f>
        <v/>
      </c>
      <c r="AD61">
        <f>'2_MechAdd_HighSeverity'!P61</f>
        <v/>
      </c>
      <c r="AE61">
        <f>'2_MechAdd_HighSeverity'!Q61</f>
        <v/>
      </c>
      <c r="AF61">
        <f>'2_MechAdd_LowSeverity'!R61</f>
        <v/>
      </c>
      <c r="AG61">
        <f>'2_MechAdd_LowSeverity'!S61</f>
        <v/>
      </c>
      <c r="AH61">
        <f>'2_MechAdd_LowSeverity'!T61</f>
        <v/>
      </c>
      <c r="AI61">
        <f>'2_MechAdd_LowSeverity'!U61</f>
        <v/>
      </c>
      <c r="AJ61">
        <f>'2_MechAdd_ModSeverity'!S61</f>
        <v/>
      </c>
      <c r="AK61">
        <f>'2_MechAdd_ModSeverity'!T61</f>
        <v/>
      </c>
      <c r="AL61">
        <f>'2_MechAdd_ModSeverity'!U61</f>
        <v/>
      </c>
      <c r="AM61">
        <f>'2_MechAdd_HighSeverity'!S61</f>
        <v/>
      </c>
      <c r="AN61">
        <f>'2_MechAdd_HighSeverity'!T61</f>
        <v/>
      </c>
      <c r="AO61">
        <f>'2_MechAdd_HighSeverity'!U61</f>
        <v/>
      </c>
      <c r="AP61">
        <f>'2_MechAdd_LowSeverity'!V61</f>
        <v/>
      </c>
      <c r="AQ61">
        <f>'2_MechAdd_LowSeverity'!W61</f>
        <v/>
      </c>
      <c r="AR61">
        <f>'2_MechAdd_LowSeverity'!X61</f>
        <v/>
      </c>
      <c r="AS61">
        <f>'2_MechAdd_LowSeverity'!Y61</f>
        <v/>
      </c>
      <c r="AT61">
        <f>'2_MechAdd_ModSeverity'!W61</f>
        <v/>
      </c>
      <c r="AU61">
        <f>'2_MechAdd_ModSeverity'!X61</f>
        <v/>
      </c>
      <c r="AV61">
        <f>'2_MechAdd_ModSeverity'!Y61</f>
        <v/>
      </c>
      <c r="AW61">
        <f>'2_MechAdd_HighSeverity'!W61</f>
        <v/>
      </c>
      <c r="AX61">
        <f>'2_MechAdd_HighSeverity'!X61</f>
        <v/>
      </c>
      <c r="AY61">
        <f>'2_MechAdd_HighSeverity'!Y61</f>
        <v/>
      </c>
      <c r="AZ61">
        <f>'2_MechAdd_LowSeverity'!Z61</f>
        <v/>
      </c>
      <c r="BA61">
        <f>'2_MechAdd_LowSeverity'!AA61</f>
        <v/>
      </c>
      <c r="BB61">
        <f>'2_MechAdd_LowSeverity'!AB61</f>
        <v/>
      </c>
      <c r="BC61">
        <f>'2_MechAdd_LowSeverity'!AC61</f>
        <v/>
      </c>
      <c r="BD61">
        <f>'2_MechAdd_ModSeverity'!AA61</f>
        <v/>
      </c>
      <c r="BE61">
        <f>'2_MechAdd_ModSeverity'!AB61</f>
        <v/>
      </c>
      <c r="BF61">
        <f>'2_MechAdd_ModSeverity'!AC61</f>
        <v/>
      </c>
      <c r="BG61">
        <f>'2_MechAdd_HighSeverity'!AA61</f>
        <v/>
      </c>
      <c r="BH61">
        <f>'2_MechAdd_HighSeverity'!AB61</f>
        <v/>
      </c>
      <c r="BI61">
        <f>'2_MechAdd_HighSeverity'!AC61</f>
        <v/>
      </c>
    </row>
    <row r="62">
      <c r="A62" s="34">
        <f>'2_MechAdd_Script'!A62</f>
        <v/>
      </c>
      <c r="B62">
        <f>'2_MechAdd_LowSeverity'!F62</f>
        <v/>
      </c>
      <c r="C62">
        <f>'2_MechAdd_LowSeverity'!G62</f>
        <v/>
      </c>
      <c r="D62">
        <f>'2_MechAdd_LowSeverity'!H62</f>
        <v/>
      </c>
      <c r="E62">
        <f>'2_MechAdd_LowSeverity'!I62</f>
        <v/>
      </c>
      <c r="F62">
        <f>'2_MechAdd_ModSeverity'!G62</f>
        <v/>
      </c>
      <c r="G62">
        <f>'2_MechAdd_ModSeverity'!H62</f>
        <v/>
      </c>
      <c r="H62">
        <f>'2_MechAdd_ModSeverity'!I62</f>
        <v/>
      </c>
      <c r="I62">
        <f>'2_MechAdd_HighSeverity'!G62</f>
        <v/>
      </c>
      <c r="J62">
        <f>'2_MechAdd_HighSeverity'!H62</f>
        <v/>
      </c>
      <c r="K62">
        <f>'2_MechAdd_HighSeverity'!I62</f>
        <v/>
      </c>
      <c r="L62">
        <f>'2_MechAdd_LowSeverity'!J62</f>
        <v/>
      </c>
      <c r="M62">
        <f>'2_MechAdd_LowSeverity'!K62</f>
        <v/>
      </c>
      <c r="N62">
        <f>'2_MechAdd_LowSeverity'!L62</f>
        <v/>
      </c>
      <c r="O62">
        <f>'2_MechAdd_LowSeverity'!M62</f>
        <v/>
      </c>
      <c r="P62">
        <f>'2_MechAdd_ModSeverity'!K62</f>
        <v/>
      </c>
      <c r="Q62">
        <f>'2_MechAdd_ModSeverity'!L62</f>
        <v/>
      </c>
      <c r="R62">
        <f>'2_MechAdd_ModSeverity'!M62</f>
        <v/>
      </c>
      <c r="S62">
        <f>'2_MechAdd_HighSeverity'!K62</f>
        <v/>
      </c>
      <c r="T62">
        <f>'2_MechAdd_HighSeverity'!L62</f>
        <v/>
      </c>
      <c r="U62">
        <f>'2_MechAdd_HighSeverity'!M62</f>
        <v/>
      </c>
      <c r="V62">
        <f>'2_MechAdd_LowSeverity'!N62</f>
        <v/>
      </c>
      <c r="W62">
        <f>'2_MechAdd_LowSeverity'!O62</f>
        <v/>
      </c>
      <c r="X62">
        <f>'2_MechAdd_LowSeverity'!P62</f>
        <v/>
      </c>
      <c r="Y62">
        <f>'2_MechAdd_LowSeverity'!Q62</f>
        <v/>
      </c>
      <c r="Z62">
        <f>'2_MechAdd_ModSeverity'!O62</f>
        <v/>
      </c>
      <c r="AA62">
        <f>'2_MechAdd_ModSeverity'!P62</f>
        <v/>
      </c>
      <c r="AB62">
        <f>'2_MechAdd_ModSeverity'!Q62</f>
        <v/>
      </c>
      <c r="AC62">
        <f>'2_MechAdd_HighSeverity'!O62</f>
        <v/>
      </c>
      <c r="AD62">
        <f>'2_MechAdd_HighSeverity'!P62</f>
        <v/>
      </c>
      <c r="AE62">
        <f>'2_MechAdd_HighSeverity'!Q62</f>
        <v/>
      </c>
      <c r="AF62">
        <f>'2_MechAdd_LowSeverity'!R62</f>
        <v/>
      </c>
      <c r="AG62">
        <f>'2_MechAdd_LowSeverity'!S62</f>
        <v/>
      </c>
      <c r="AH62">
        <f>'2_MechAdd_LowSeverity'!T62</f>
        <v/>
      </c>
      <c r="AI62">
        <f>'2_MechAdd_LowSeverity'!U62</f>
        <v/>
      </c>
      <c r="AJ62">
        <f>'2_MechAdd_ModSeverity'!S62</f>
        <v/>
      </c>
      <c r="AK62">
        <f>'2_MechAdd_ModSeverity'!T62</f>
        <v/>
      </c>
      <c r="AL62">
        <f>'2_MechAdd_ModSeverity'!U62</f>
        <v/>
      </c>
      <c r="AM62">
        <f>'2_MechAdd_HighSeverity'!S62</f>
        <v/>
      </c>
      <c r="AN62">
        <f>'2_MechAdd_HighSeverity'!T62</f>
        <v/>
      </c>
      <c r="AO62">
        <f>'2_MechAdd_HighSeverity'!U62</f>
        <v/>
      </c>
      <c r="AP62">
        <f>'2_MechAdd_LowSeverity'!V62</f>
        <v/>
      </c>
      <c r="AQ62">
        <f>'2_MechAdd_LowSeverity'!W62</f>
        <v/>
      </c>
      <c r="AR62">
        <f>'2_MechAdd_LowSeverity'!X62</f>
        <v/>
      </c>
      <c r="AS62">
        <f>'2_MechAdd_LowSeverity'!Y62</f>
        <v/>
      </c>
      <c r="AT62">
        <f>'2_MechAdd_ModSeverity'!W62</f>
        <v/>
      </c>
      <c r="AU62">
        <f>'2_MechAdd_ModSeverity'!X62</f>
        <v/>
      </c>
      <c r="AV62">
        <f>'2_MechAdd_ModSeverity'!Y62</f>
        <v/>
      </c>
      <c r="AW62">
        <f>'2_MechAdd_HighSeverity'!W62</f>
        <v/>
      </c>
      <c r="AX62">
        <f>'2_MechAdd_HighSeverity'!X62</f>
        <v/>
      </c>
      <c r="AY62">
        <f>'2_MechAdd_HighSeverity'!Y62</f>
        <v/>
      </c>
      <c r="AZ62">
        <f>'2_MechAdd_LowSeverity'!Z62</f>
        <v/>
      </c>
      <c r="BA62">
        <f>'2_MechAdd_LowSeverity'!AA62</f>
        <v/>
      </c>
      <c r="BB62">
        <f>'2_MechAdd_LowSeverity'!AB62</f>
        <v/>
      </c>
      <c r="BC62">
        <f>'2_MechAdd_LowSeverity'!AC62</f>
        <v/>
      </c>
      <c r="BD62">
        <f>'2_MechAdd_ModSeverity'!AA62</f>
        <v/>
      </c>
      <c r="BE62">
        <f>'2_MechAdd_ModSeverity'!AB62</f>
        <v/>
      </c>
      <c r="BF62">
        <f>'2_MechAdd_ModSeverity'!AC62</f>
        <v/>
      </c>
      <c r="BG62">
        <f>'2_MechAdd_HighSeverity'!AA62</f>
        <v/>
      </c>
      <c r="BH62">
        <f>'2_MechAdd_HighSeverity'!AB62</f>
        <v/>
      </c>
      <c r="BI62">
        <f>'2_MechAdd_HighSeverity'!AC62</f>
        <v/>
      </c>
    </row>
    <row r="63">
      <c r="A63" s="34">
        <f>'2_MechAdd_Script'!A63</f>
        <v/>
      </c>
      <c r="B63">
        <f>'2_MechAdd_LowSeverity'!F63</f>
        <v/>
      </c>
      <c r="C63">
        <f>'2_MechAdd_LowSeverity'!G63</f>
        <v/>
      </c>
      <c r="D63">
        <f>'2_MechAdd_LowSeverity'!H63</f>
        <v/>
      </c>
      <c r="E63">
        <f>'2_MechAdd_LowSeverity'!I63</f>
        <v/>
      </c>
      <c r="F63">
        <f>'2_MechAdd_ModSeverity'!G63</f>
        <v/>
      </c>
      <c r="G63">
        <f>'2_MechAdd_ModSeverity'!H63</f>
        <v/>
      </c>
      <c r="H63">
        <f>'2_MechAdd_ModSeverity'!I63</f>
        <v/>
      </c>
      <c r="I63">
        <f>'2_MechAdd_HighSeverity'!G63</f>
        <v/>
      </c>
      <c r="J63">
        <f>'2_MechAdd_HighSeverity'!H63</f>
        <v/>
      </c>
      <c r="K63">
        <f>'2_MechAdd_HighSeverity'!I63</f>
        <v/>
      </c>
      <c r="L63">
        <f>'2_MechAdd_LowSeverity'!J63</f>
        <v/>
      </c>
      <c r="M63">
        <f>'2_MechAdd_LowSeverity'!K63</f>
        <v/>
      </c>
      <c r="N63">
        <f>'2_MechAdd_LowSeverity'!L63</f>
        <v/>
      </c>
      <c r="O63">
        <f>'2_MechAdd_LowSeverity'!M63</f>
        <v/>
      </c>
      <c r="P63">
        <f>'2_MechAdd_ModSeverity'!K63</f>
        <v/>
      </c>
      <c r="Q63">
        <f>'2_MechAdd_ModSeverity'!L63</f>
        <v/>
      </c>
      <c r="R63">
        <f>'2_MechAdd_ModSeverity'!M63</f>
        <v/>
      </c>
      <c r="S63">
        <f>'2_MechAdd_HighSeverity'!K63</f>
        <v/>
      </c>
      <c r="T63">
        <f>'2_MechAdd_HighSeverity'!L63</f>
        <v/>
      </c>
      <c r="U63">
        <f>'2_MechAdd_HighSeverity'!M63</f>
        <v/>
      </c>
      <c r="V63">
        <f>'2_MechAdd_LowSeverity'!N63</f>
        <v/>
      </c>
      <c r="W63">
        <f>'2_MechAdd_LowSeverity'!O63</f>
        <v/>
      </c>
      <c r="X63">
        <f>'2_MechAdd_LowSeverity'!P63</f>
        <v/>
      </c>
      <c r="Y63">
        <f>'2_MechAdd_LowSeverity'!Q63</f>
        <v/>
      </c>
      <c r="Z63">
        <f>'2_MechAdd_ModSeverity'!O63</f>
        <v/>
      </c>
      <c r="AA63">
        <f>'2_MechAdd_ModSeverity'!P63</f>
        <v/>
      </c>
      <c r="AB63">
        <f>'2_MechAdd_ModSeverity'!Q63</f>
        <v/>
      </c>
      <c r="AC63">
        <f>'2_MechAdd_HighSeverity'!O63</f>
        <v/>
      </c>
      <c r="AD63">
        <f>'2_MechAdd_HighSeverity'!P63</f>
        <v/>
      </c>
      <c r="AE63">
        <f>'2_MechAdd_HighSeverity'!Q63</f>
        <v/>
      </c>
      <c r="AF63">
        <f>'2_MechAdd_LowSeverity'!R63</f>
        <v/>
      </c>
      <c r="AG63">
        <f>'2_MechAdd_LowSeverity'!S63</f>
        <v/>
      </c>
      <c r="AH63">
        <f>'2_MechAdd_LowSeverity'!T63</f>
        <v/>
      </c>
      <c r="AI63">
        <f>'2_MechAdd_LowSeverity'!U63</f>
        <v/>
      </c>
      <c r="AJ63">
        <f>'2_MechAdd_ModSeverity'!S63</f>
        <v/>
      </c>
      <c r="AK63">
        <f>'2_MechAdd_ModSeverity'!T63</f>
        <v/>
      </c>
      <c r="AL63">
        <f>'2_MechAdd_ModSeverity'!U63</f>
        <v/>
      </c>
      <c r="AM63">
        <f>'2_MechAdd_HighSeverity'!S63</f>
        <v/>
      </c>
      <c r="AN63">
        <f>'2_MechAdd_HighSeverity'!T63</f>
        <v/>
      </c>
      <c r="AO63">
        <f>'2_MechAdd_HighSeverity'!U63</f>
        <v/>
      </c>
      <c r="AP63">
        <f>'2_MechAdd_LowSeverity'!V63</f>
        <v/>
      </c>
      <c r="AQ63">
        <f>'2_MechAdd_LowSeverity'!W63</f>
        <v/>
      </c>
      <c r="AR63">
        <f>'2_MechAdd_LowSeverity'!X63</f>
        <v/>
      </c>
      <c r="AS63">
        <f>'2_MechAdd_LowSeverity'!Y63</f>
        <v/>
      </c>
      <c r="AT63">
        <f>'2_MechAdd_ModSeverity'!W63</f>
        <v/>
      </c>
      <c r="AU63">
        <f>'2_MechAdd_ModSeverity'!X63</f>
        <v/>
      </c>
      <c r="AV63">
        <f>'2_MechAdd_ModSeverity'!Y63</f>
        <v/>
      </c>
      <c r="AW63">
        <f>'2_MechAdd_HighSeverity'!W63</f>
        <v/>
      </c>
      <c r="AX63">
        <f>'2_MechAdd_HighSeverity'!X63</f>
        <v/>
      </c>
      <c r="AY63">
        <f>'2_MechAdd_HighSeverity'!Y63</f>
        <v/>
      </c>
      <c r="AZ63">
        <f>'2_MechAdd_LowSeverity'!Z63</f>
        <v/>
      </c>
      <c r="BA63">
        <f>'2_MechAdd_LowSeverity'!AA63</f>
        <v/>
      </c>
      <c r="BB63">
        <f>'2_MechAdd_LowSeverity'!AB63</f>
        <v/>
      </c>
      <c r="BC63">
        <f>'2_MechAdd_LowSeverity'!AC63</f>
        <v/>
      </c>
      <c r="BD63">
        <f>'2_MechAdd_ModSeverity'!AA63</f>
        <v/>
      </c>
      <c r="BE63">
        <f>'2_MechAdd_ModSeverity'!AB63</f>
        <v/>
      </c>
      <c r="BF63">
        <f>'2_MechAdd_ModSeverity'!AC63</f>
        <v/>
      </c>
      <c r="BG63">
        <f>'2_MechAdd_HighSeverity'!AA63</f>
        <v/>
      </c>
      <c r="BH63">
        <f>'2_MechAdd_HighSeverity'!AB63</f>
        <v/>
      </c>
      <c r="BI63">
        <f>'2_MechAdd_HighSeverity'!AC63</f>
        <v/>
      </c>
    </row>
    <row r="64">
      <c r="A64" s="34">
        <f>'2_MechAdd_Script'!A64</f>
        <v/>
      </c>
      <c r="B64">
        <f>'2_MechAdd_LowSeverity'!F64</f>
        <v/>
      </c>
      <c r="C64">
        <f>'2_MechAdd_LowSeverity'!G64</f>
        <v/>
      </c>
      <c r="D64">
        <f>'2_MechAdd_LowSeverity'!H64</f>
        <v/>
      </c>
      <c r="E64">
        <f>'2_MechAdd_LowSeverity'!I64</f>
        <v/>
      </c>
      <c r="F64">
        <f>'2_MechAdd_ModSeverity'!G64</f>
        <v/>
      </c>
      <c r="G64">
        <f>'2_MechAdd_ModSeverity'!H64</f>
        <v/>
      </c>
      <c r="H64">
        <f>'2_MechAdd_ModSeverity'!I64</f>
        <v/>
      </c>
      <c r="I64">
        <f>'2_MechAdd_HighSeverity'!G64</f>
        <v/>
      </c>
      <c r="J64">
        <f>'2_MechAdd_HighSeverity'!H64</f>
        <v/>
      </c>
      <c r="K64">
        <f>'2_MechAdd_HighSeverity'!I64</f>
        <v/>
      </c>
      <c r="L64">
        <f>'2_MechAdd_LowSeverity'!J64</f>
        <v/>
      </c>
      <c r="M64">
        <f>'2_MechAdd_LowSeverity'!K64</f>
        <v/>
      </c>
      <c r="N64">
        <f>'2_MechAdd_LowSeverity'!L64</f>
        <v/>
      </c>
      <c r="O64">
        <f>'2_MechAdd_LowSeverity'!M64</f>
        <v/>
      </c>
      <c r="P64">
        <f>'2_MechAdd_ModSeverity'!K64</f>
        <v/>
      </c>
      <c r="Q64">
        <f>'2_MechAdd_ModSeverity'!L64</f>
        <v/>
      </c>
      <c r="R64">
        <f>'2_MechAdd_ModSeverity'!M64</f>
        <v/>
      </c>
      <c r="S64">
        <f>'2_MechAdd_HighSeverity'!K64</f>
        <v/>
      </c>
      <c r="T64">
        <f>'2_MechAdd_HighSeverity'!L64</f>
        <v/>
      </c>
      <c r="U64">
        <f>'2_MechAdd_HighSeverity'!M64</f>
        <v/>
      </c>
      <c r="V64">
        <f>'2_MechAdd_LowSeverity'!N64</f>
        <v/>
      </c>
      <c r="W64">
        <f>'2_MechAdd_LowSeverity'!O64</f>
        <v/>
      </c>
      <c r="X64">
        <f>'2_MechAdd_LowSeverity'!P64</f>
        <v/>
      </c>
      <c r="Y64">
        <f>'2_MechAdd_LowSeverity'!Q64</f>
        <v/>
      </c>
      <c r="Z64">
        <f>'2_MechAdd_ModSeverity'!O64</f>
        <v/>
      </c>
      <c r="AA64">
        <f>'2_MechAdd_ModSeverity'!P64</f>
        <v/>
      </c>
      <c r="AB64">
        <f>'2_MechAdd_ModSeverity'!Q64</f>
        <v/>
      </c>
      <c r="AC64">
        <f>'2_MechAdd_HighSeverity'!O64</f>
        <v/>
      </c>
      <c r="AD64">
        <f>'2_MechAdd_HighSeverity'!P64</f>
        <v/>
      </c>
      <c r="AE64">
        <f>'2_MechAdd_HighSeverity'!Q64</f>
        <v/>
      </c>
      <c r="AF64">
        <f>'2_MechAdd_LowSeverity'!R64</f>
        <v/>
      </c>
      <c r="AG64">
        <f>'2_MechAdd_LowSeverity'!S64</f>
        <v/>
      </c>
      <c r="AH64">
        <f>'2_MechAdd_LowSeverity'!T64</f>
        <v/>
      </c>
      <c r="AI64">
        <f>'2_MechAdd_LowSeverity'!U64</f>
        <v/>
      </c>
      <c r="AJ64">
        <f>'2_MechAdd_ModSeverity'!S64</f>
        <v/>
      </c>
      <c r="AK64">
        <f>'2_MechAdd_ModSeverity'!T64</f>
        <v/>
      </c>
      <c r="AL64">
        <f>'2_MechAdd_ModSeverity'!U64</f>
        <v/>
      </c>
      <c r="AM64">
        <f>'2_MechAdd_HighSeverity'!S64</f>
        <v/>
      </c>
      <c r="AN64">
        <f>'2_MechAdd_HighSeverity'!T64</f>
        <v/>
      </c>
      <c r="AO64">
        <f>'2_MechAdd_HighSeverity'!U64</f>
        <v/>
      </c>
      <c r="AP64">
        <f>'2_MechAdd_LowSeverity'!V64</f>
        <v/>
      </c>
      <c r="AQ64">
        <f>'2_MechAdd_LowSeverity'!W64</f>
        <v/>
      </c>
      <c r="AR64">
        <f>'2_MechAdd_LowSeverity'!X64</f>
        <v/>
      </c>
      <c r="AS64">
        <f>'2_MechAdd_LowSeverity'!Y64</f>
        <v/>
      </c>
      <c r="AT64">
        <f>'2_MechAdd_ModSeverity'!W64</f>
        <v/>
      </c>
      <c r="AU64">
        <f>'2_MechAdd_ModSeverity'!X64</f>
        <v/>
      </c>
      <c r="AV64">
        <f>'2_MechAdd_ModSeverity'!Y64</f>
        <v/>
      </c>
      <c r="AW64">
        <f>'2_MechAdd_HighSeverity'!W64</f>
        <v/>
      </c>
      <c r="AX64">
        <f>'2_MechAdd_HighSeverity'!X64</f>
        <v/>
      </c>
      <c r="AY64">
        <f>'2_MechAdd_HighSeverity'!Y64</f>
        <v/>
      </c>
      <c r="AZ64">
        <f>'2_MechAdd_LowSeverity'!Z64</f>
        <v/>
      </c>
      <c r="BA64">
        <f>'2_MechAdd_LowSeverity'!AA64</f>
        <v/>
      </c>
      <c r="BB64">
        <f>'2_MechAdd_LowSeverity'!AB64</f>
        <v/>
      </c>
      <c r="BC64">
        <f>'2_MechAdd_LowSeverity'!AC64</f>
        <v/>
      </c>
      <c r="BD64">
        <f>'2_MechAdd_ModSeverity'!AA64</f>
        <v/>
      </c>
      <c r="BE64">
        <f>'2_MechAdd_ModSeverity'!AB64</f>
        <v/>
      </c>
      <c r="BF64">
        <f>'2_MechAdd_ModSeverity'!AC64</f>
        <v/>
      </c>
      <c r="BG64">
        <f>'2_MechAdd_HighSeverity'!AA64</f>
        <v/>
      </c>
      <c r="BH64">
        <f>'2_MechAdd_HighSeverity'!AB64</f>
        <v/>
      </c>
      <c r="BI64">
        <f>'2_MechAdd_HighSeverity'!AC64</f>
        <v/>
      </c>
    </row>
    <row r="65">
      <c r="A65" s="34">
        <f>'2_MechAdd_Script'!A65</f>
        <v/>
      </c>
      <c r="B65">
        <f>'2_MechAdd_LowSeverity'!F65</f>
        <v/>
      </c>
      <c r="C65">
        <f>'2_MechAdd_LowSeverity'!G65</f>
        <v/>
      </c>
      <c r="D65">
        <f>'2_MechAdd_LowSeverity'!H65</f>
        <v/>
      </c>
      <c r="E65">
        <f>'2_MechAdd_LowSeverity'!I65</f>
        <v/>
      </c>
      <c r="F65">
        <f>'2_MechAdd_ModSeverity'!G65</f>
        <v/>
      </c>
      <c r="G65">
        <f>'2_MechAdd_ModSeverity'!H65</f>
        <v/>
      </c>
      <c r="H65">
        <f>'2_MechAdd_ModSeverity'!I65</f>
        <v/>
      </c>
      <c r="I65">
        <f>'2_MechAdd_HighSeverity'!G65</f>
        <v/>
      </c>
      <c r="J65">
        <f>'2_MechAdd_HighSeverity'!H65</f>
        <v/>
      </c>
      <c r="K65">
        <f>'2_MechAdd_HighSeverity'!I65</f>
        <v/>
      </c>
      <c r="L65">
        <f>'2_MechAdd_LowSeverity'!J65</f>
        <v/>
      </c>
      <c r="M65">
        <f>'2_MechAdd_LowSeverity'!K65</f>
        <v/>
      </c>
      <c r="N65">
        <f>'2_MechAdd_LowSeverity'!L65</f>
        <v/>
      </c>
      <c r="O65">
        <f>'2_MechAdd_LowSeverity'!M65</f>
        <v/>
      </c>
      <c r="P65">
        <f>'2_MechAdd_ModSeverity'!K65</f>
        <v/>
      </c>
      <c r="Q65">
        <f>'2_MechAdd_ModSeverity'!L65</f>
        <v/>
      </c>
      <c r="R65">
        <f>'2_MechAdd_ModSeverity'!M65</f>
        <v/>
      </c>
      <c r="S65">
        <f>'2_MechAdd_HighSeverity'!K65</f>
        <v/>
      </c>
      <c r="T65">
        <f>'2_MechAdd_HighSeverity'!L65</f>
        <v/>
      </c>
      <c r="U65">
        <f>'2_MechAdd_HighSeverity'!M65</f>
        <v/>
      </c>
      <c r="V65">
        <f>'2_MechAdd_LowSeverity'!N65</f>
        <v/>
      </c>
      <c r="W65">
        <f>'2_MechAdd_LowSeverity'!O65</f>
        <v/>
      </c>
      <c r="X65">
        <f>'2_MechAdd_LowSeverity'!P65</f>
        <v/>
      </c>
      <c r="Y65">
        <f>'2_MechAdd_LowSeverity'!Q65</f>
        <v/>
      </c>
      <c r="Z65">
        <f>'2_MechAdd_ModSeverity'!O65</f>
        <v/>
      </c>
      <c r="AA65">
        <f>'2_MechAdd_ModSeverity'!P65</f>
        <v/>
      </c>
      <c r="AB65">
        <f>'2_MechAdd_ModSeverity'!Q65</f>
        <v/>
      </c>
      <c r="AC65">
        <f>'2_MechAdd_HighSeverity'!O65</f>
        <v/>
      </c>
      <c r="AD65">
        <f>'2_MechAdd_HighSeverity'!P65</f>
        <v/>
      </c>
      <c r="AE65">
        <f>'2_MechAdd_HighSeverity'!Q65</f>
        <v/>
      </c>
      <c r="AF65">
        <f>'2_MechAdd_LowSeverity'!R65</f>
        <v/>
      </c>
      <c r="AG65">
        <f>'2_MechAdd_LowSeverity'!S65</f>
        <v/>
      </c>
      <c r="AH65">
        <f>'2_MechAdd_LowSeverity'!T65</f>
        <v/>
      </c>
      <c r="AI65">
        <f>'2_MechAdd_LowSeverity'!U65</f>
        <v/>
      </c>
      <c r="AJ65">
        <f>'2_MechAdd_ModSeverity'!S65</f>
        <v/>
      </c>
      <c r="AK65">
        <f>'2_MechAdd_ModSeverity'!T65</f>
        <v/>
      </c>
      <c r="AL65">
        <f>'2_MechAdd_ModSeverity'!U65</f>
        <v/>
      </c>
      <c r="AM65">
        <f>'2_MechAdd_HighSeverity'!S65</f>
        <v/>
      </c>
      <c r="AN65">
        <f>'2_MechAdd_HighSeverity'!T65</f>
        <v/>
      </c>
      <c r="AO65">
        <f>'2_MechAdd_HighSeverity'!U65</f>
        <v/>
      </c>
      <c r="AP65">
        <f>'2_MechAdd_LowSeverity'!V65</f>
        <v/>
      </c>
      <c r="AQ65">
        <f>'2_MechAdd_LowSeverity'!W65</f>
        <v/>
      </c>
      <c r="AR65">
        <f>'2_MechAdd_LowSeverity'!X65</f>
        <v/>
      </c>
      <c r="AS65">
        <f>'2_MechAdd_LowSeverity'!Y65</f>
        <v/>
      </c>
      <c r="AT65">
        <f>'2_MechAdd_ModSeverity'!W65</f>
        <v/>
      </c>
      <c r="AU65">
        <f>'2_MechAdd_ModSeverity'!X65</f>
        <v/>
      </c>
      <c r="AV65">
        <f>'2_MechAdd_ModSeverity'!Y65</f>
        <v/>
      </c>
      <c r="AW65">
        <f>'2_MechAdd_HighSeverity'!W65</f>
        <v/>
      </c>
      <c r="AX65">
        <f>'2_MechAdd_HighSeverity'!X65</f>
        <v/>
      </c>
      <c r="AY65">
        <f>'2_MechAdd_HighSeverity'!Y65</f>
        <v/>
      </c>
      <c r="AZ65">
        <f>'2_MechAdd_LowSeverity'!Z65</f>
        <v/>
      </c>
      <c r="BA65">
        <f>'2_MechAdd_LowSeverity'!AA65</f>
        <v/>
      </c>
      <c r="BB65">
        <f>'2_MechAdd_LowSeverity'!AB65</f>
        <v/>
      </c>
      <c r="BC65">
        <f>'2_MechAdd_LowSeverity'!AC65</f>
        <v/>
      </c>
      <c r="BD65">
        <f>'2_MechAdd_ModSeverity'!AA65</f>
        <v/>
      </c>
      <c r="BE65">
        <f>'2_MechAdd_ModSeverity'!AB65</f>
        <v/>
      </c>
      <c r="BF65">
        <f>'2_MechAdd_ModSeverity'!AC65</f>
        <v/>
      </c>
      <c r="BG65">
        <f>'2_MechAdd_HighSeverity'!AA65</f>
        <v/>
      </c>
      <c r="BH65">
        <f>'2_MechAdd_HighSeverity'!AB65</f>
        <v/>
      </c>
      <c r="BI65">
        <f>'2_MechAdd_HighSeverity'!AC65</f>
        <v/>
      </c>
    </row>
    <row r="66">
      <c r="A66" s="34">
        <f>'2_MechAdd_Script'!A66</f>
        <v/>
      </c>
      <c r="B66">
        <f>'2_MechAdd_LowSeverity'!F66</f>
        <v/>
      </c>
      <c r="C66">
        <f>'2_MechAdd_LowSeverity'!G66</f>
        <v/>
      </c>
      <c r="D66">
        <f>'2_MechAdd_LowSeverity'!H66</f>
        <v/>
      </c>
      <c r="E66">
        <f>'2_MechAdd_LowSeverity'!I66</f>
        <v/>
      </c>
      <c r="F66">
        <f>'2_MechAdd_ModSeverity'!G66</f>
        <v/>
      </c>
      <c r="G66">
        <f>'2_MechAdd_ModSeverity'!H66</f>
        <v/>
      </c>
      <c r="H66">
        <f>'2_MechAdd_ModSeverity'!I66</f>
        <v/>
      </c>
      <c r="I66">
        <f>'2_MechAdd_HighSeverity'!G66</f>
        <v/>
      </c>
      <c r="J66">
        <f>'2_MechAdd_HighSeverity'!H66</f>
        <v/>
      </c>
      <c r="K66">
        <f>'2_MechAdd_HighSeverity'!I66</f>
        <v/>
      </c>
      <c r="L66">
        <f>'2_MechAdd_LowSeverity'!J66</f>
        <v/>
      </c>
      <c r="M66">
        <f>'2_MechAdd_LowSeverity'!K66</f>
        <v/>
      </c>
      <c r="N66">
        <f>'2_MechAdd_LowSeverity'!L66</f>
        <v/>
      </c>
      <c r="O66">
        <f>'2_MechAdd_LowSeverity'!M66</f>
        <v/>
      </c>
      <c r="P66">
        <f>'2_MechAdd_ModSeverity'!K66</f>
        <v/>
      </c>
      <c r="Q66">
        <f>'2_MechAdd_ModSeverity'!L66</f>
        <v/>
      </c>
      <c r="R66">
        <f>'2_MechAdd_ModSeverity'!M66</f>
        <v/>
      </c>
      <c r="S66">
        <f>'2_MechAdd_HighSeverity'!K66</f>
        <v/>
      </c>
      <c r="T66">
        <f>'2_MechAdd_HighSeverity'!L66</f>
        <v/>
      </c>
      <c r="U66">
        <f>'2_MechAdd_HighSeverity'!M66</f>
        <v/>
      </c>
      <c r="V66">
        <f>'2_MechAdd_LowSeverity'!N66</f>
        <v/>
      </c>
      <c r="W66">
        <f>'2_MechAdd_LowSeverity'!O66</f>
        <v/>
      </c>
      <c r="X66">
        <f>'2_MechAdd_LowSeverity'!P66</f>
        <v/>
      </c>
      <c r="Y66">
        <f>'2_MechAdd_LowSeverity'!Q66</f>
        <v/>
      </c>
      <c r="Z66">
        <f>'2_MechAdd_ModSeverity'!O66</f>
        <v/>
      </c>
      <c r="AA66">
        <f>'2_MechAdd_ModSeverity'!P66</f>
        <v/>
      </c>
      <c r="AB66">
        <f>'2_MechAdd_ModSeverity'!Q66</f>
        <v/>
      </c>
      <c r="AC66">
        <f>'2_MechAdd_HighSeverity'!O66</f>
        <v/>
      </c>
      <c r="AD66">
        <f>'2_MechAdd_HighSeverity'!P66</f>
        <v/>
      </c>
      <c r="AE66">
        <f>'2_MechAdd_HighSeverity'!Q66</f>
        <v/>
      </c>
      <c r="AF66">
        <f>'2_MechAdd_LowSeverity'!R66</f>
        <v/>
      </c>
      <c r="AG66">
        <f>'2_MechAdd_LowSeverity'!S66</f>
        <v/>
      </c>
      <c r="AH66">
        <f>'2_MechAdd_LowSeverity'!T66</f>
        <v/>
      </c>
      <c r="AI66">
        <f>'2_MechAdd_LowSeverity'!U66</f>
        <v/>
      </c>
      <c r="AJ66">
        <f>'2_MechAdd_ModSeverity'!S66</f>
        <v/>
      </c>
      <c r="AK66">
        <f>'2_MechAdd_ModSeverity'!T66</f>
        <v/>
      </c>
      <c r="AL66">
        <f>'2_MechAdd_ModSeverity'!U66</f>
        <v/>
      </c>
      <c r="AM66">
        <f>'2_MechAdd_HighSeverity'!S66</f>
        <v/>
      </c>
      <c r="AN66">
        <f>'2_MechAdd_HighSeverity'!T66</f>
        <v/>
      </c>
      <c r="AO66">
        <f>'2_MechAdd_HighSeverity'!U66</f>
        <v/>
      </c>
      <c r="AP66">
        <f>'2_MechAdd_LowSeverity'!V66</f>
        <v/>
      </c>
      <c r="AQ66">
        <f>'2_MechAdd_LowSeverity'!W66</f>
        <v/>
      </c>
      <c r="AR66">
        <f>'2_MechAdd_LowSeverity'!X66</f>
        <v/>
      </c>
      <c r="AS66">
        <f>'2_MechAdd_LowSeverity'!Y66</f>
        <v/>
      </c>
      <c r="AT66">
        <f>'2_MechAdd_ModSeverity'!W66</f>
        <v/>
      </c>
      <c r="AU66">
        <f>'2_MechAdd_ModSeverity'!X66</f>
        <v/>
      </c>
      <c r="AV66">
        <f>'2_MechAdd_ModSeverity'!Y66</f>
        <v/>
      </c>
      <c r="AW66">
        <f>'2_MechAdd_HighSeverity'!W66</f>
        <v/>
      </c>
      <c r="AX66">
        <f>'2_MechAdd_HighSeverity'!X66</f>
        <v/>
      </c>
      <c r="AY66">
        <f>'2_MechAdd_HighSeverity'!Y66</f>
        <v/>
      </c>
      <c r="AZ66">
        <f>'2_MechAdd_LowSeverity'!Z66</f>
        <v/>
      </c>
      <c r="BA66">
        <f>'2_MechAdd_LowSeverity'!AA66</f>
        <v/>
      </c>
      <c r="BB66">
        <f>'2_MechAdd_LowSeverity'!AB66</f>
        <v/>
      </c>
      <c r="BC66">
        <f>'2_MechAdd_LowSeverity'!AC66</f>
        <v/>
      </c>
      <c r="BD66">
        <f>'2_MechAdd_ModSeverity'!AA66</f>
        <v/>
      </c>
      <c r="BE66">
        <f>'2_MechAdd_ModSeverity'!AB66</f>
        <v/>
      </c>
      <c r="BF66">
        <f>'2_MechAdd_ModSeverity'!AC66</f>
        <v/>
      </c>
      <c r="BG66">
        <f>'2_MechAdd_HighSeverity'!AA66</f>
        <v/>
      </c>
      <c r="BH66">
        <f>'2_MechAdd_HighSeverity'!AB66</f>
        <v/>
      </c>
      <c r="BI66">
        <f>'2_MechAdd_HighSeverity'!AC66</f>
        <v/>
      </c>
    </row>
    <row r="67">
      <c r="A67" s="34">
        <f>'2_MechAdd_Script'!A67</f>
        <v/>
      </c>
      <c r="B67">
        <f>'2_MechAdd_LowSeverity'!F67</f>
        <v/>
      </c>
      <c r="C67">
        <f>'2_MechAdd_LowSeverity'!G67</f>
        <v/>
      </c>
      <c r="D67">
        <f>'2_MechAdd_LowSeverity'!H67</f>
        <v/>
      </c>
      <c r="E67">
        <f>'2_MechAdd_LowSeverity'!I67</f>
        <v/>
      </c>
      <c r="F67">
        <f>'2_MechAdd_ModSeverity'!G67</f>
        <v/>
      </c>
      <c r="G67">
        <f>'2_MechAdd_ModSeverity'!H67</f>
        <v/>
      </c>
      <c r="H67">
        <f>'2_MechAdd_ModSeverity'!I67</f>
        <v/>
      </c>
      <c r="I67">
        <f>'2_MechAdd_HighSeverity'!G67</f>
        <v/>
      </c>
      <c r="J67">
        <f>'2_MechAdd_HighSeverity'!H67</f>
        <v/>
      </c>
      <c r="K67">
        <f>'2_MechAdd_HighSeverity'!I67</f>
        <v/>
      </c>
      <c r="L67">
        <f>'2_MechAdd_LowSeverity'!J67</f>
        <v/>
      </c>
      <c r="M67">
        <f>'2_MechAdd_LowSeverity'!K67</f>
        <v/>
      </c>
      <c r="N67">
        <f>'2_MechAdd_LowSeverity'!L67</f>
        <v/>
      </c>
      <c r="O67">
        <f>'2_MechAdd_LowSeverity'!M67</f>
        <v/>
      </c>
      <c r="P67">
        <f>'2_MechAdd_ModSeverity'!K67</f>
        <v/>
      </c>
      <c r="Q67">
        <f>'2_MechAdd_ModSeverity'!L67</f>
        <v/>
      </c>
      <c r="R67">
        <f>'2_MechAdd_ModSeverity'!M67</f>
        <v/>
      </c>
      <c r="S67">
        <f>'2_MechAdd_HighSeverity'!K67</f>
        <v/>
      </c>
      <c r="T67">
        <f>'2_MechAdd_HighSeverity'!L67</f>
        <v/>
      </c>
      <c r="U67">
        <f>'2_MechAdd_HighSeverity'!M67</f>
        <v/>
      </c>
      <c r="V67">
        <f>'2_MechAdd_LowSeverity'!N67</f>
        <v/>
      </c>
      <c r="W67">
        <f>'2_MechAdd_LowSeverity'!O67</f>
        <v/>
      </c>
      <c r="X67">
        <f>'2_MechAdd_LowSeverity'!P67</f>
        <v/>
      </c>
      <c r="Y67">
        <f>'2_MechAdd_LowSeverity'!Q67</f>
        <v/>
      </c>
      <c r="Z67">
        <f>'2_MechAdd_ModSeverity'!O67</f>
        <v/>
      </c>
      <c r="AA67">
        <f>'2_MechAdd_ModSeverity'!P67</f>
        <v/>
      </c>
      <c r="AB67">
        <f>'2_MechAdd_ModSeverity'!Q67</f>
        <v/>
      </c>
      <c r="AC67">
        <f>'2_MechAdd_HighSeverity'!O67</f>
        <v/>
      </c>
      <c r="AD67">
        <f>'2_MechAdd_HighSeverity'!P67</f>
        <v/>
      </c>
      <c r="AE67">
        <f>'2_MechAdd_HighSeverity'!Q67</f>
        <v/>
      </c>
      <c r="AF67">
        <f>'2_MechAdd_LowSeverity'!R67</f>
        <v/>
      </c>
      <c r="AG67">
        <f>'2_MechAdd_LowSeverity'!S67</f>
        <v/>
      </c>
      <c r="AH67">
        <f>'2_MechAdd_LowSeverity'!T67</f>
        <v/>
      </c>
      <c r="AI67">
        <f>'2_MechAdd_LowSeverity'!U67</f>
        <v/>
      </c>
      <c r="AJ67">
        <f>'2_MechAdd_ModSeverity'!S67</f>
        <v/>
      </c>
      <c r="AK67">
        <f>'2_MechAdd_ModSeverity'!T67</f>
        <v/>
      </c>
      <c r="AL67">
        <f>'2_MechAdd_ModSeverity'!U67</f>
        <v/>
      </c>
      <c r="AM67">
        <f>'2_MechAdd_HighSeverity'!S67</f>
        <v/>
      </c>
      <c r="AN67">
        <f>'2_MechAdd_HighSeverity'!T67</f>
        <v/>
      </c>
      <c r="AO67">
        <f>'2_MechAdd_HighSeverity'!U67</f>
        <v/>
      </c>
      <c r="AP67">
        <f>'2_MechAdd_LowSeverity'!V67</f>
        <v/>
      </c>
      <c r="AQ67">
        <f>'2_MechAdd_LowSeverity'!W67</f>
        <v/>
      </c>
      <c r="AR67">
        <f>'2_MechAdd_LowSeverity'!X67</f>
        <v/>
      </c>
      <c r="AS67">
        <f>'2_MechAdd_LowSeverity'!Y67</f>
        <v/>
      </c>
      <c r="AT67">
        <f>'2_MechAdd_ModSeverity'!W67</f>
        <v/>
      </c>
      <c r="AU67">
        <f>'2_MechAdd_ModSeverity'!X67</f>
        <v/>
      </c>
      <c r="AV67">
        <f>'2_MechAdd_ModSeverity'!Y67</f>
        <v/>
      </c>
      <c r="AW67">
        <f>'2_MechAdd_HighSeverity'!W67</f>
        <v/>
      </c>
      <c r="AX67">
        <f>'2_MechAdd_HighSeverity'!X67</f>
        <v/>
      </c>
      <c r="AY67">
        <f>'2_MechAdd_HighSeverity'!Y67</f>
        <v/>
      </c>
      <c r="AZ67">
        <f>'2_MechAdd_LowSeverity'!Z67</f>
        <v/>
      </c>
      <c r="BA67">
        <f>'2_MechAdd_LowSeverity'!AA67</f>
        <v/>
      </c>
      <c r="BB67">
        <f>'2_MechAdd_LowSeverity'!AB67</f>
        <v/>
      </c>
      <c r="BC67">
        <f>'2_MechAdd_LowSeverity'!AC67</f>
        <v/>
      </c>
      <c r="BD67">
        <f>'2_MechAdd_ModSeverity'!AA67</f>
        <v/>
      </c>
      <c r="BE67">
        <f>'2_MechAdd_ModSeverity'!AB67</f>
        <v/>
      </c>
      <c r="BF67">
        <f>'2_MechAdd_ModSeverity'!AC67</f>
        <v/>
      </c>
      <c r="BG67">
        <f>'2_MechAdd_HighSeverity'!AA67</f>
        <v/>
      </c>
      <c r="BH67">
        <f>'2_MechAdd_HighSeverity'!AB67</f>
        <v/>
      </c>
      <c r="BI67">
        <f>'2_MechAdd_HighSeverity'!AC67</f>
        <v/>
      </c>
    </row>
    <row r="68">
      <c r="A68" s="34">
        <f>'2_MechAdd_Script'!A68</f>
        <v/>
      </c>
      <c r="B68">
        <f>'2_MechAdd_LowSeverity'!F68</f>
        <v/>
      </c>
      <c r="C68">
        <f>'2_MechAdd_LowSeverity'!G68</f>
        <v/>
      </c>
      <c r="D68">
        <f>'2_MechAdd_LowSeverity'!H68</f>
        <v/>
      </c>
      <c r="E68">
        <f>'2_MechAdd_LowSeverity'!I68</f>
        <v/>
      </c>
      <c r="F68">
        <f>'2_MechAdd_ModSeverity'!G68</f>
        <v/>
      </c>
      <c r="G68">
        <f>'2_MechAdd_ModSeverity'!H68</f>
        <v/>
      </c>
      <c r="H68">
        <f>'2_MechAdd_ModSeverity'!I68</f>
        <v/>
      </c>
      <c r="I68">
        <f>'2_MechAdd_HighSeverity'!G68</f>
        <v/>
      </c>
      <c r="J68">
        <f>'2_MechAdd_HighSeverity'!H68</f>
        <v/>
      </c>
      <c r="K68">
        <f>'2_MechAdd_HighSeverity'!I68</f>
        <v/>
      </c>
      <c r="L68">
        <f>'2_MechAdd_LowSeverity'!J68</f>
        <v/>
      </c>
      <c r="M68">
        <f>'2_MechAdd_LowSeverity'!K68</f>
        <v/>
      </c>
      <c r="N68">
        <f>'2_MechAdd_LowSeverity'!L68</f>
        <v/>
      </c>
      <c r="O68">
        <f>'2_MechAdd_LowSeverity'!M68</f>
        <v/>
      </c>
      <c r="P68">
        <f>'2_MechAdd_ModSeverity'!K68</f>
        <v/>
      </c>
      <c r="Q68">
        <f>'2_MechAdd_ModSeverity'!L68</f>
        <v/>
      </c>
      <c r="R68">
        <f>'2_MechAdd_ModSeverity'!M68</f>
        <v/>
      </c>
      <c r="S68">
        <f>'2_MechAdd_HighSeverity'!K68</f>
        <v/>
      </c>
      <c r="T68">
        <f>'2_MechAdd_HighSeverity'!L68</f>
        <v/>
      </c>
      <c r="U68">
        <f>'2_MechAdd_HighSeverity'!M68</f>
        <v/>
      </c>
      <c r="V68">
        <f>'2_MechAdd_LowSeverity'!N68</f>
        <v/>
      </c>
      <c r="W68">
        <f>'2_MechAdd_LowSeverity'!O68</f>
        <v/>
      </c>
      <c r="X68">
        <f>'2_MechAdd_LowSeverity'!P68</f>
        <v/>
      </c>
      <c r="Y68">
        <f>'2_MechAdd_LowSeverity'!Q68</f>
        <v/>
      </c>
      <c r="Z68">
        <f>'2_MechAdd_ModSeverity'!O68</f>
        <v/>
      </c>
      <c r="AA68">
        <f>'2_MechAdd_ModSeverity'!P68</f>
        <v/>
      </c>
      <c r="AB68">
        <f>'2_MechAdd_ModSeverity'!Q68</f>
        <v/>
      </c>
      <c r="AC68">
        <f>'2_MechAdd_HighSeverity'!O68</f>
        <v/>
      </c>
      <c r="AD68">
        <f>'2_MechAdd_HighSeverity'!P68</f>
        <v/>
      </c>
      <c r="AE68">
        <f>'2_MechAdd_HighSeverity'!Q68</f>
        <v/>
      </c>
      <c r="AF68">
        <f>'2_MechAdd_LowSeverity'!R68</f>
        <v/>
      </c>
      <c r="AG68">
        <f>'2_MechAdd_LowSeverity'!S68</f>
        <v/>
      </c>
      <c r="AH68">
        <f>'2_MechAdd_LowSeverity'!T68</f>
        <v/>
      </c>
      <c r="AI68">
        <f>'2_MechAdd_LowSeverity'!U68</f>
        <v/>
      </c>
      <c r="AJ68">
        <f>'2_MechAdd_ModSeverity'!S68</f>
        <v/>
      </c>
      <c r="AK68">
        <f>'2_MechAdd_ModSeverity'!T68</f>
        <v/>
      </c>
      <c r="AL68">
        <f>'2_MechAdd_ModSeverity'!U68</f>
        <v/>
      </c>
      <c r="AM68">
        <f>'2_MechAdd_HighSeverity'!S68</f>
        <v/>
      </c>
      <c r="AN68">
        <f>'2_MechAdd_HighSeverity'!T68</f>
        <v/>
      </c>
      <c r="AO68">
        <f>'2_MechAdd_HighSeverity'!U68</f>
        <v/>
      </c>
      <c r="AP68">
        <f>'2_MechAdd_LowSeverity'!V68</f>
        <v/>
      </c>
      <c r="AQ68">
        <f>'2_MechAdd_LowSeverity'!W68</f>
        <v/>
      </c>
      <c r="AR68">
        <f>'2_MechAdd_LowSeverity'!X68</f>
        <v/>
      </c>
      <c r="AS68">
        <f>'2_MechAdd_LowSeverity'!Y68</f>
        <v/>
      </c>
      <c r="AT68">
        <f>'2_MechAdd_ModSeverity'!W68</f>
        <v/>
      </c>
      <c r="AU68">
        <f>'2_MechAdd_ModSeverity'!X68</f>
        <v/>
      </c>
      <c r="AV68">
        <f>'2_MechAdd_ModSeverity'!Y68</f>
        <v/>
      </c>
      <c r="AW68">
        <f>'2_MechAdd_HighSeverity'!W68</f>
        <v/>
      </c>
      <c r="AX68">
        <f>'2_MechAdd_HighSeverity'!X68</f>
        <v/>
      </c>
      <c r="AY68">
        <f>'2_MechAdd_HighSeverity'!Y68</f>
        <v/>
      </c>
      <c r="AZ68">
        <f>'2_MechAdd_LowSeverity'!Z68</f>
        <v/>
      </c>
      <c r="BA68">
        <f>'2_MechAdd_LowSeverity'!AA68</f>
        <v/>
      </c>
      <c r="BB68">
        <f>'2_MechAdd_LowSeverity'!AB68</f>
        <v/>
      </c>
      <c r="BC68">
        <f>'2_MechAdd_LowSeverity'!AC68</f>
        <v/>
      </c>
      <c r="BD68">
        <f>'2_MechAdd_ModSeverity'!AA68</f>
        <v/>
      </c>
      <c r="BE68">
        <f>'2_MechAdd_ModSeverity'!AB68</f>
        <v/>
      </c>
      <c r="BF68">
        <f>'2_MechAdd_ModSeverity'!AC68</f>
        <v/>
      </c>
      <c r="BG68">
        <f>'2_MechAdd_HighSeverity'!AA68</f>
        <v/>
      </c>
      <c r="BH68">
        <f>'2_MechAdd_HighSeverity'!AB68</f>
        <v/>
      </c>
      <c r="BI68">
        <f>'2_MechAdd_HighSeverity'!AC68</f>
        <v/>
      </c>
    </row>
    <row r="69">
      <c r="A69" s="34">
        <f>'2_MechAdd_Script'!A69</f>
        <v/>
      </c>
      <c r="B69">
        <f>'2_MechAdd_LowSeverity'!F69</f>
        <v/>
      </c>
      <c r="C69">
        <f>'2_MechAdd_LowSeverity'!G69</f>
        <v/>
      </c>
      <c r="D69">
        <f>'2_MechAdd_LowSeverity'!H69</f>
        <v/>
      </c>
      <c r="E69">
        <f>'2_MechAdd_LowSeverity'!I69</f>
        <v/>
      </c>
      <c r="F69">
        <f>'2_MechAdd_ModSeverity'!G69</f>
        <v/>
      </c>
      <c r="G69">
        <f>'2_MechAdd_ModSeverity'!H69</f>
        <v/>
      </c>
      <c r="H69">
        <f>'2_MechAdd_ModSeverity'!I69</f>
        <v/>
      </c>
      <c r="I69">
        <f>'2_MechAdd_HighSeverity'!G69</f>
        <v/>
      </c>
      <c r="J69">
        <f>'2_MechAdd_HighSeverity'!H69</f>
        <v/>
      </c>
      <c r="K69">
        <f>'2_MechAdd_HighSeverity'!I69</f>
        <v/>
      </c>
      <c r="L69">
        <f>'2_MechAdd_LowSeverity'!J69</f>
        <v/>
      </c>
      <c r="M69">
        <f>'2_MechAdd_LowSeverity'!K69</f>
        <v/>
      </c>
      <c r="N69">
        <f>'2_MechAdd_LowSeverity'!L69</f>
        <v/>
      </c>
      <c r="O69">
        <f>'2_MechAdd_LowSeverity'!M69</f>
        <v/>
      </c>
      <c r="P69">
        <f>'2_MechAdd_ModSeverity'!K69</f>
        <v/>
      </c>
      <c r="Q69">
        <f>'2_MechAdd_ModSeverity'!L69</f>
        <v/>
      </c>
      <c r="R69">
        <f>'2_MechAdd_ModSeverity'!M69</f>
        <v/>
      </c>
      <c r="S69">
        <f>'2_MechAdd_HighSeverity'!K69</f>
        <v/>
      </c>
      <c r="T69">
        <f>'2_MechAdd_HighSeverity'!L69</f>
        <v/>
      </c>
      <c r="U69">
        <f>'2_MechAdd_HighSeverity'!M69</f>
        <v/>
      </c>
      <c r="V69">
        <f>'2_MechAdd_LowSeverity'!N69</f>
        <v/>
      </c>
      <c r="W69">
        <f>'2_MechAdd_LowSeverity'!O69</f>
        <v/>
      </c>
      <c r="X69">
        <f>'2_MechAdd_LowSeverity'!P69</f>
        <v/>
      </c>
      <c r="Y69">
        <f>'2_MechAdd_LowSeverity'!Q69</f>
        <v/>
      </c>
      <c r="Z69">
        <f>'2_MechAdd_ModSeverity'!O69</f>
        <v/>
      </c>
      <c r="AA69">
        <f>'2_MechAdd_ModSeverity'!P69</f>
        <v/>
      </c>
      <c r="AB69">
        <f>'2_MechAdd_ModSeverity'!Q69</f>
        <v/>
      </c>
      <c r="AC69">
        <f>'2_MechAdd_HighSeverity'!O69</f>
        <v/>
      </c>
      <c r="AD69">
        <f>'2_MechAdd_HighSeverity'!P69</f>
        <v/>
      </c>
      <c r="AE69">
        <f>'2_MechAdd_HighSeverity'!Q69</f>
        <v/>
      </c>
      <c r="AF69">
        <f>'2_MechAdd_LowSeverity'!R69</f>
        <v/>
      </c>
      <c r="AG69">
        <f>'2_MechAdd_LowSeverity'!S69</f>
        <v/>
      </c>
      <c r="AH69">
        <f>'2_MechAdd_LowSeverity'!T69</f>
        <v/>
      </c>
      <c r="AI69">
        <f>'2_MechAdd_LowSeverity'!U69</f>
        <v/>
      </c>
      <c r="AJ69">
        <f>'2_MechAdd_ModSeverity'!S69</f>
        <v/>
      </c>
      <c r="AK69">
        <f>'2_MechAdd_ModSeverity'!T69</f>
        <v/>
      </c>
      <c r="AL69">
        <f>'2_MechAdd_ModSeverity'!U69</f>
        <v/>
      </c>
      <c r="AM69">
        <f>'2_MechAdd_HighSeverity'!S69</f>
        <v/>
      </c>
      <c r="AN69">
        <f>'2_MechAdd_HighSeverity'!T69</f>
        <v/>
      </c>
      <c r="AO69">
        <f>'2_MechAdd_HighSeverity'!U69</f>
        <v/>
      </c>
      <c r="AP69">
        <f>'2_MechAdd_LowSeverity'!V69</f>
        <v/>
      </c>
      <c r="AQ69">
        <f>'2_MechAdd_LowSeverity'!W69</f>
        <v/>
      </c>
      <c r="AR69">
        <f>'2_MechAdd_LowSeverity'!X69</f>
        <v/>
      </c>
      <c r="AS69">
        <f>'2_MechAdd_LowSeverity'!Y69</f>
        <v/>
      </c>
      <c r="AT69">
        <f>'2_MechAdd_ModSeverity'!W69</f>
        <v/>
      </c>
      <c r="AU69">
        <f>'2_MechAdd_ModSeverity'!X69</f>
        <v/>
      </c>
      <c r="AV69">
        <f>'2_MechAdd_ModSeverity'!Y69</f>
        <v/>
      </c>
      <c r="AW69">
        <f>'2_MechAdd_HighSeverity'!W69</f>
        <v/>
      </c>
      <c r="AX69">
        <f>'2_MechAdd_HighSeverity'!X69</f>
        <v/>
      </c>
      <c r="AY69">
        <f>'2_MechAdd_HighSeverity'!Y69</f>
        <v/>
      </c>
      <c r="AZ69">
        <f>'2_MechAdd_LowSeverity'!Z69</f>
        <v/>
      </c>
      <c r="BA69">
        <f>'2_MechAdd_LowSeverity'!AA69</f>
        <v/>
      </c>
      <c r="BB69">
        <f>'2_MechAdd_LowSeverity'!AB69</f>
        <v/>
      </c>
      <c r="BC69">
        <f>'2_MechAdd_LowSeverity'!AC69</f>
        <v/>
      </c>
      <c r="BD69">
        <f>'2_MechAdd_ModSeverity'!AA69</f>
        <v/>
      </c>
      <c r="BE69">
        <f>'2_MechAdd_ModSeverity'!AB69</f>
        <v/>
      </c>
      <c r="BF69">
        <f>'2_MechAdd_ModSeverity'!AC69</f>
        <v/>
      </c>
      <c r="BG69">
        <f>'2_MechAdd_HighSeverity'!AA69</f>
        <v/>
      </c>
      <c r="BH69">
        <f>'2_MechAdd_HighSeverity'!AB69</f>
        <v/>
      </c>
      <c r="BI69">
        <f>'2_MechAdd_HighSeverity'!AC69</f>
        <v/>
      </c>
    </row>
    <row r="70">
      <c r="A70" s="34">
        <f>'2_MechAdd_Script'!A70</f>
        <v/>
      </c>
      <c r="B70">
        <f>'2_MechAdd_LowSeverity'!F70</f>
        <v/>
      </c>
      <c r="C70">
        <f>'2_MechAdd_LowSeverity'!G70</f>
        <v/>
      </c>
      <c r="D70">
        <f>'2_MechAdd_LowSeverity'!H70</f>
        <v/>
      </c>
      <c r="E70">
        <f>'2_MechAdd_LowSeverity'!I70</f>
        <v/>
      </c>
      <c r="F70">
        <f>'2_MechAdd_ModSeverity'!G70</f>
        <v/>
      </c>
      <c r="G70">
        <f>'2_MechAdd_ModSeverity'!H70</f>
        <v/>
      </c>
      <c r="H70">
        <f>'2_MechAdd_ModSeverity'!I70</f>
        <v/>
      </c>
      <c r="I70">
        <f>'2_MechAdd_HighSeverity'!G70</f>
        <v/>
      </c>
      <c r="J70">
        <f>'2_MechAdd_HighSeverity'!H70</f>
        <v/>
      </c>
      <c r="K70">
        <f>'2_MechAdd_HighSeverity'!I70</f>
        <v/>
      </c>
      <c r="L70">
        <f>'2_MechAdd_LowSeverity'!J70</f>
        <v/>
      </c>
      <c r="M70">
        <f>'2_MechAdd_LowSeverity'!K70</f>
        <v/>
      </c>
      <c r="N70">
        <f>'2_MechAdd_LowSeverity'!L70</f>
        <v/>
      </c>
      <c r="O70">
        <f>'2_MechAdd_LowSeverity'!M70</f>
        <v/>
      </c>
      <c r="P70">
        <f>'2_MechAdd_ModSeverity'!K70</f>
        <v/>
      </c>
      <c r="Q70">
        <f>'2_MechAdd_ModSeverity'!L70</f>
        <v/>
      </c>
      <c r="R70">
        <f>'2_MechAdd_ModSeverity'!M70</f>
        <v/>
      </c>
      <c r="S70">
        <f>'2_MechAdd_HighSeverity'!K70</f>
        <v/>
      </c>
      <c r="T70">
        <f>'2_MechAdd_HighSeverity'!L70</f>
        <v/>
      </c>
      <c r="U70">
        <f>'2_MechAdd_HighSeverity'!M70</f>
        <v/>
      </c>
      <c r="V70">
        <f>'2_MechAdd_LowSeverity'!N70</f>
        <v/>
      </c>
      <c r="W70">
        <f>'2_MechAdd_LowSeverity'!O70</f>
        <v/>
      </c>
      <c r="X70">
        <f>'2_MechAdd_LowSeverity'!P70</f>
        <v/>
      </c>
      <c r="Y70">
        <f>'2_MechAdd_LowSeverity'!Q70</f>
        <v/>
      </c>
      <c r="Z70">
        <f>'2_MechAdd_ModSeverity'!O70</f>
        <v/>
      </c>
      <c r="AA70">
        <f>'2_MechAdd_ModSeverity'!P70</f>
        <v/>
      </c>
      <c r="AB70">
        <f>'2_MechAdd_ModSeverity'!Q70</f>
        <v/>
      </c>
      <c r="AC70">
        <f>'2_MechAdd_HighSeverity'!O70</f>
        <v/>
      </c>
      <c r="AD70">
        <f>'2_MechAdd_HighSeverity'!P70</f>
        <v/>
      </c>
      <c r="AE70">
        <f>'2_MechAdd_HighSeverity'!Q70</f>
        <v/>
      </c>
      <c r="AF70">
        <f>'2_MechAdd_LowSeverity'!R70</f>
        <v/>
      </c>
      <c r="AG70">
        <f>'2_MechAdd_LowSeverity'!S70</f>
        <v/>
      </c>
      <c r="AH70">
        <f>'2_MechAdd_LowSeverity'!T70</f>
        <v/>
      </c>
      <c r="AI70">
        <f>'2_MechAdd_LowSeverity'!U70</f>
        <v/>
      </c>
      <c r="AJ70">
        <f>'2_MechAdd_ModSeverity'!S70</f>
        <v/>
      </c>
      <c r="AK70">
        <f>'2_MechAdd_ModSeverity'!T70</f>
        <v/>
      </c>
      <c r="AL70">
        <f>'2_MechAdd_ModSeverity'!U70</f>
        <v/>
      </c>
      <c r="AM70">
        <f>'2_MechAdd_HighSeverity'!S70</f>
        <v/>
      </c>
      <c r="AN70">
        <f>'2_MechAdd_HighSeverity'!T70</f>
        <v/>
      </c>
      <c r="AO70">
        <f>'2_MechAdd_HighSeverity'!U70</f>
        <v/>
      </c>
      <c r="AP70">
        <f>'2_MechAdd_LowSeverity'!V70</f>
        <v/>
      </c>
      <c r="AQ70">
        <f>'2_MechAdd_LowSeverity'!W70</f>
        <v/>
      </c>
      <c r="AR70">
        <f>'2_MechAdd_LowSeverity'!X70</f>
        <v/>
      </c>
      <c r="AS70">
        <f>'2_MechAdd_LowSeverity'!Y70</f>
        <v/>
      </c>
      <c r="AT70">
        <f>'2_MechAdd_ModSeverity'!W70</f>
        <v/>
      </c>
      <c r="AU70">
        <f>'2_MechAdd_ModSeverity'!X70</f>
        <v/>
      </c>
      <c r="AV70">
        <f>'2_MechAdd_ModSeverity'!Y70</f>
        <v/>
      </c>
      <c r="AW70">
        <f>'2_MechAdd_HighSeverity'!W70</f>
        <v/>
      </c>
      <c r="AX70">
        <f>'2_MechAdd_HighSeverity'!X70</f>
        <v/>
      </c>
      <c r="AY70">
        <f>'2_MechAdd_HighSeverity'!Y70</f>
        <v/>
      </c>
      <c r="AZ70">
        <f>'2_MechAdd_LowSeverity'!Z70</f>
        <v/>
      </c>
      <c r="BA70">
        <f>'2_MechAdd_LowSeverity'!AA70</f>
        <v/>
      </c>
      <c r="BB70">
        <f>'2_MechAdd_LowSeverity'!AB70</f>
        <v/>
      </c>
      <c r="BC70">
        <f>'2_MechAdd_LowSeverity'!AC70</f>
        <v/>
      </c>
      <c r="BD70">
        <f>'2_MechAdd_ModSeverity'!AA70</f>
        <v/>
      </c>
      <c r="BE70">
        <f>'2_MechAdd_ModSeverity'!AB70</f>
        <v/>
      </c>
      <c r="BF70">
        <f>'2_MechAdd_ModSeverity'!AC70</f>
        <v/>
      </c>
      <c r="BG70">
        <f>'2_MechAdd_HighSeverity'!AA70</f>
        <v/>
      </c>
      <c r="BH70">
        <f>'2_MechAdd_HighSeverity'!AB70</f>
        <v/>
      </c>
      <c r="BI70">
        <f>'2_MechAdd_HighSeverity'!AC70</f>
        <v/>
      </c>
    </row>
    <row r="71">
      <c r="A71" s="34">
        <f>'2_MechAdd_Script'!A71</f>
        <v/>
      </c>
      <c r="B71">
        <f>'2_MechAdd_LowSeverity'!F71</f>
        <v/>
      </c>
      <c r="C71">
        <f>'2_MechAdd_LowSeverity'!G71</f>
        <v/>
      </c>
      <c r="D71">
        <f>'2_MechAdd_LowSeverity'!H71</f>
        <v/>
      </c>
      <c r="E71">
        <f>'2_MechAdd_LowSeverity'!I71</f>
        <v/>
      </c>
      <c r="F71">
        <f>'2_MechAdd_ModSeverity'!G71</f>
        <v/>
      </c>
      <c r="G71">
        <f>'2_MechAdd_ModSeverity'!H71</f>
        <v/>
      </c>
      <c r="H71">
        <f>'2_MechAdd_ModSeverity'!I71</f>
        <v/>
      </c>
      <c r="I71">
        <f>'2_MechAdd_HighSeverity'!G71</f>
        <v/>
      </c>
      <c r="J71">
        <f>'2_MechAdd_HighSeverity'!H71</f>
        <v/>
      </c>
      <c r="K71">
        <f>'2_MechAdd_HighSeverity'!I71</f>
        <v/>
      </c>
      <c r="L71">
        <f>'2_MechAdd_LowSeverity'!J71</f>
        <v/>
      </c>
      <c r="M71">
        <f>'2_MechAdd_LowSeverity'!K71</f>
        <v/>
      </c>
      <c r="N71">
        <f>'2_MechAdd_LowSeverity'!L71</f>
        <v/>
      </c>
      <c r="O71">
        <f>'2_MechAdd_LowSeverity'!M71</f>
        <v/>
      </c>
      <c r="P71">
        <f>'2_MechAdd_ModSeverity'!K71</f>
        <v/>
      </c>
      <c r="Q71">
        <f>'2_MechAdd_ModSeverity'!L71</f>
        <v/>
      </c>
      <c r="R71">
        <f>'2_MechAdd_ModSeverity'!M71</f>
        <v/>
      </c>
      <c r="S71">
        <f>'2_MechAdd_HighSeverity'!K71</f>
        <v/>
      </c>
      <c r="T71">
        <f>'2_MechAdd_HighSeverity'!L71</f>
        <v/>
      </c>
      <c r="U71">
        <f>'2_MechAdd_HighSeverity'!M71</f>
        <v/>
      </c>
      <c r="V71">
        <f>'2_MechAdd_LowSeverity'!N71</f>
        <v/>
      </c>
      <c r="W71">
        <f>'2_MechAdd_LowSeverity'!O71</f>
        <v/>
      </c>
      <c r="X71">
        <f>'2_MechAdd_LowSeverity'!P71</f>
        <v/>
      </c>
      <c r="Y71">
        <f>'2_MechAdd_LowSeverity'!Q71</f>
        <v/>
      </c>
      <c r="Z71">
        <f>'2_MechAdd_ModSeverity'!O71</f>
        <v/>
      </c>
      <c r="AA71">
        <f>'2_MechAdd_ModSeverity'!P71</f>
        <v/>
      </c>
      <c r="AB71">
        <f>'2_MechAdd_ModSeverity'!Q71</f>
        <v/>
      </c>
      <c r="AC71">
        <f>'2_MechAdd_HighSeverity'!O71</f>
        <v/>
      </c>
      <c r="AD71">
        <f>'2_MechAdd_HighSeverity'!P71</f>
        <v/>
      </c>
      <c r="AE71">
        <f>'2_MechAdd_HighSeverity'!Q71</f>
        <v/>
      </c>
      <c r="AF71">
        <f>'2_MechAdd_LowSeverity'!R71</f>
        <v/>
      </c>
      <c r="AG71">
        <f>'2_MechAdd_LowSeverity'!S71</f>
        <v/>
      </c>
      <c r="AH71">
        <f>'2_MechAdd_LowSeverity'!T71</f>
        <v/>
      </c>
      <c r="AI71">
        <f>'2_MechAdd_LowSeverity'!U71</f>
        <v/>
      </c>
      <c r="AJ71">
        <f>'2_MechAdd_ModSeverity'!S71</f>
        <v/>
      </c>
      <c r="AK71">
        <f>'2_MechAdd_ModSeverity'!T71</f>
        <v/>
      </c>
      <c r="AL71">
        <f>'2_MechAdd_ModSeverity'!U71</f>
        <v/>
      </c>
      <c r="AM71">
        <f>'2_MechAdd_HighSeverity'!S71</f>
        <v/>
      </c>
      <c r="AN71">
        <f>'2_MechAdd_HighSeverity'!T71</f>
        <v/>
      </c>
      <c r="AO71">
        <f>'2_MechAdd_HighSeverity'!U71</f>
        <v/>
      </c>
      <c r="AP71">
        <f>'2_MechAdd_LowSeverity'!V71</f>
        <v/>
      </c>
      <c r="AQ71">
        <f>'2_MechAdd_LowSeverity'!W71</f>
        <v/>
      </c>
      <c r="AR71">
        <f>'2_MechAdd_LowSeverity'!X71</f>
        <v/>
      </c>
      <c r="AS71">
        <f>'2_MechAdd_LowSeverity'!Y71</f>
        <v/>
      </c>
      <c r="AT71">
        <f>'2_MechAdd_ModSeverity'!W71</f>
        <v/>
      </c>
      <c r="AU71">
        <f>'2_MechAdd_ModSeverity'!X71</f>
        <v/>
      </c>
      <c r="AV71">
        <f>'2_MechAdd_ModSeverity'!Y71</f>
        <v/>
      </c>
      <c r="AW71">
        <f>'2_MechAdd_HighSeverity'!W71</f>
        <v/>
      </c>
      <c r="AX71">
        <f>'2_MechAdd_HighSeverity'!X71</f>
        <v/>
      </c>
      <c r="AY71">
        <f>'2_MechAdd_HighSeverity'!Y71</f>
        <v/>
      </c>
      <c r="AZ71">
        <f>'2_MechAdd_LowSeverity'!Z71</f>
        <v/>
      </c>
      <c r="BA71">
        <f>'2_MechAdd_LowSeverity'!AA71</f>
        <v/>
      </c>
      <c r="BB71">
        <f>'2_MechAdd_LowSeverity'!AB71</f>
        <v/>
      </c>
      <c r="BC71">
        <f>'2_MechAdd_LowSeverity'!AC71</f>
        <v/>
      </c>
      <c r="BD71">
        <f>'2_MechAdd_ModSeverity'!AA71</f>
        <v/>
      </c>
      <c r="BE71">
        <f>'2_MechAdd_ModSeverity'!AB71</f>
        <v/>
      </c>
      <c r="BF71">
        <f>'2_MechAdd_ModSeverity'!AC71</f>
        <v/>
      </c>
      <c r="BG71">
        <f>'2_MechAdd_HighSeverity'!AA71</f>
        <v/>
      </c>
      <c r="BH71">
        <f>'2_MechAdd_HighSeverity'!AB71</f>
        <v/>
      </c>
      <c r="BI71">
        <f>'2_MechAdd_HighSeverity'!AC71</f>
        <v/>
      </c>
    </row>
    <row r="72">
      <c r="A72" s="34">
        <f>'2_MechAdd_Script'!A72</f>
        <v/>
      </c>
      <c r="B72">
        <f>'2_MechAdd_LowSeverity'!F72</f>
        <v/>
      </c>
      <c r="C72">
        <f>'2_MechAdd_LowSeverity'!G72</f>
        <v/>
      </c>
      <c r="D72">
        <f>'2_MechAdd_LowSeverity'!H72</f>
        <v/>
      </c>
      <c r="E72">
        <f>'2_MechAdd_LowSeverity'!I72</f>
        <v/>
      </c>
      <c r="F72">
        <f>'2_MechAdd_ModSeverity'!G72</f>
        <v/>
      </c>
      <c r="G72">
        <f>'2_MechAdd_ModSeverity'!H72</f>
        <v/>
      </c>
      <c r="H72">
        <f>'2_MechAdd_ModSeverity'!I72</f>
        <v/>
      </c>
      <c r="I72">
        <f>'2_MechAdd_HighSeverity'!G72</f>
        <v/>
      </c>
      <c r="J72">
        <f>'2_MechAdd_HighSeverity'!H72</f>
        <v/>
      </c>
      <c r="K72">
        <f>'2_MechAdd_HighSeverity'!I72</f>
        <v/>
      </c>
      <c r="L72">
        <f>'2_MechAdd_LowSeverity'!J72</f>
        <v/>
      </c>
      <c r="M72">
        <f>'2_MechAdd_LowSeverity'!K72</f>
        <v/>
      </c>
      <c r="N72">
        <f>'2_MechAdd_LowSeverity'!L72</f>
        <v/>
      </c>
      <c r="O72">
        <f>'2_MechAdd_LowSeverity'!M72</f>
        <v/>
      </c>
      <c r="P72">
        <f>'2_MechAdd_ModSeverity'!K72</f>
        <v/>
      </c>
      <c r="Q72">
        <f>'2_MechAdd_ModSeverity'!L72</f>
        <v/>
      </c>
      <c r="R72">
        <f>'2_MechAdd_ModSeverity'!M72</f>
        <v/>
      </c>
      <c r="S72">
        <f>'2_MechAdd_HighSeverity'!K72</f>
        <v/>
      </c>
      <c r="T72">
        <f>'2_MechAdd_HighSeverity'!L72</f>
        <v/>
      </c>
      <c r="U72">
        <f>'2_MechAdd_HighSeverity'!M72</f>
        <v/>
      </c>
      <c r="V72">
        <f>'2_MechAdd_LowSeverity'!N72</f>
        <v/>
      </c>
      <c r="W72">
        <f>'2_MechAdd_LowSeverity'!O72</f>
        <v/>
      </c>
      <c r="X72">
        <f>'2_MechAdd_LowSeverity'!P72</f>
        <v/>
      </c>
      <c r="Y72">
        <f>'2_MechAdd_LowSeverity'!Q72</f>
        <v/>
      </c>
      <c r="Z72">
        <f>'2_MechAdd_ModSeverity'!O72</f>
        <v/>
      </c>
      <c r="AA72">
        <f>'2_MechAdd_ModSeverity'!P72</f>
        <v/>
      </c>
      <c r="AB72">
        <f>'2_MechAdd_ModSeverity'!Q72</f>
        <v/>
      </c>
      <c r="AC72">
        <f>'2_MechAdd_HighSeverity'!O72</f>
        <v/>
      </c>
      <c r="AD72">
        <f>'2_MechAdd_HighSeverity'!P72</f>
        <v/>
      </c>
      <c r="AE72">
        <f>'2_MechAdd_HighSeverity'!Q72</f>
        <v/>
      </c>
      <c r="AF72">
        <f>'2_MechAdd_LowSeverity'!R72</f>
        <v/>
      </c>
      <c r="AG72">
        <f>'2_MechAdd_LowSeverity'!S72</f>
        <v/>
      </c>
      <c r="AH72">
        <f>'2_MechAdd_LowSeverity'!T72</f>
        <v/>
      </c>
      <c r="AI72">
        <f>'2_MechAdd_LowSeverity'!U72</f>
        <v/>
      </c>
      <c r="AJ72">
        <f>'2_MechAdd_ModSeverity'!S72</f>
        <v/>
      </c>
      <c r="AK72">
        <f>'2_MechAdd_ModSeverity'!T72</f>
        <v/>
      </c>
      <c r="AL72">
        <f>'2_MechAdd_ModSeverity'!U72</f>
        <v/>
      </c>
      <c r="AM72">
        <f>'2_MechAdd_HighSeverity'!S72</f>
        <v/>
      </c>
      <c r="AN72">
        <f>'2_MechAdd_HighSeverity'!T72</f>
        <v/>
      </c>
      <c r="AO72">
        <f>'2_MechAdd_HighSeverity'!U72</f>
        <v/>
      </c>
      <c r="AP72">
        <f>'2_MechAdd_LowSeverity'!V72</f>
        <v/>
      </c>
      <c r="AQ72">
        <f>'2_MechAdd_LowSeverity'!W72</f>
        <v/>
      </c>
      <c r="AR72">
        <f>'2_MechAdd_LowSeverity'!X72</f>
        <v/>
      </c>
      <c r="AS72">
        <f>'2_MechAdd_LowSeverity'!Y72</f>
        <v/>
      </c>
      <c r="AT72">
        <f>'2_MechAdd_ModSeverity'!W72</f>
        <v/>
      </c>
      <c r="AU72">
        <f>'2_MechAdd_ModSeverity'!X72</f>
        <v/>
      </c>
      <c r="AV72">
        <f>'2_MechAdd_ModSeverity'!Y72</f>
        <v/>
      </c>
      <c r="AW72">
        <f>'2_MechAdd_HighSeverity'!W72</f>
        <v/>
      </c>
      <c r="AX72">
        <f>'2_MechAdd_HighSeverity'!X72</f>
        <v/>
      </c>
      <c r="AY72">
        <f>'2_MechAdd_HighSeverity'!Y72</f>
        <v/>
      </c>
      <c r="AZ72">
        <f>'2_MechAdd_LowSeverity'!Z72</f>
        <v/>
      </c>
      <c r="BA72">
        <f>'2_MechAdd_LowSeverity'!AA72</f>
        <v/>
      </c>
      <c r="BB72">
        <f>'2_MechAdd_LowSeverity'!AB72</f>
        <v/>
      </c>
      <c r="BC72">
        <f>'2_MechAdd_LowSeverity'!AC72</f>
        <v/>
      </c>
      <c r="BD72">
        <f>'2_MechAdd_ModSeverity'!AA72</f>
        <v/>
      </c>
      <c r="BE72">
        <f>'2_MechAdd_ModSeverity'!AB72</f>
        <v/>
      </c>
      <c r="BF72">
        <f>'2_MechAdd_ModSeverity'!AC72</f>
        <v/>
      </c>
      <c r="BG72">
        <f>'2_MechAdd_HighSeverity'!AA72</f>
        <v/>
      </c>
      <c r="BH72">
        <f>'2_MechAdd_HighSeverity'!AB72</f>
        <v/>
      </c>
      <c r="BI72">
        <f>'2_MechAdd_HighSeverity'!AC72</f>
        <v/>
      </c>
    </row>
    <row r="73">
      <c r="A73" s="34">
        <f>'2_MechAdd_Script'!A73</f>
        <v/>
      </c>
      <c r="B73">
        <f>'2_MechAdd_LowSeverity'!F73</f>
        <v/>
      </c>
      <c r="C73">
        <f>'2_MechAdd_LowSeverity'!G73</f>
        <v/>
      </c>
      <c r="D73">
        <f>'2_MechAdd_LowSeverity'!H73</f>
        <v/>
      </c>
      <c r="E73">
        <f>'2_MechAdd_LowSeverity'!I73</f>
        <v/>
      </c>
      <c r="F73">
        <f>'2_MechAdd_ModSeverity'!G73</f>
        <v/>
      </c>
      <c r="G73">
        <f>'2_MechAdd_ModSeverity'!H73</f>
        <v/>
      </c>
      <c r="H73">
        <f>'2_MechAdd_ModSeverity'!I73</f>
        <v/>
      </c>
      <c r="I73">
        <f>'2_MechAdd_HighSeverity'!G73</f>
        <v/>
      </c>
      <c r="J73">
        <f>'2_MechAdd_HighSeverity'!H73</f>
        <v/>
      </c>
      <c r="K73">
        <f>'2_MechAdd_HighSeverity'!I73</f>
        <v/>
      </c>
      <c r="L73">
        <f>'2_MechAdd_LowSeverity'!J73</f>
        <v/>
      </c>
      <c r="M73">
        <f>'2_MechAdd_LowSeverity'!K73</f>
        <v/>
      </c>
      <c r="N73">
        <f>'2_MechAdd_LowSeverity'!L73</f>
        <v/>
      </c>
      <c r="O73">
        <f>'2_MechAdd_LowSeverity'!M73</f>
        <v/>
      </c>
      <c r="P73">
        <f>'2_MechAdd_ModSeverity'!K73</f>
        <v/>
      </c>
      <c r="Q73">
        <f>'2_MechAdd_ModSeverity'!L73</f>
        <v/>
      </c>
      <c r="R73">
        <f>'2_MechAdd_ModSeverity'!M73</f>
        <v/>
      </c>
      <c r="S73">
        <f>'2_MechAdd_HighSeverity'!K73</f>
        <v/>
      </c>
      <c r="T73">
        <f>'2_MechAdd_HighSeverity'!L73</f>
        <v/>
      </c>
      <c r="U73">
        <f>'2_MechAdd_HighSeverity'!M73</f>
        <v/>
      </c>
      <c r="V73">
        <f>'2_MechAdd_LowSeverity'!N73</f>
        <v/>
      </c>
      <c r="W73">
        <f>'2_MechAdd_LowSeverity'!O73</f>
        <v/>
      </c>
      <c r="X73">
        <f>'2_MechAdd_LowSeverity'!P73</f>
        <v/>
      </c>
      <c r="Y73">
        <f>'2_MechAdd_LowSeverity'!Q73</f>
        <v/>
      </c>
      <c r="Z73">
        <f>'2_MechAdd_ModSeverity'!O73</f>
        <v/>
      </c>
      <c r="AA73">
        <f>'2_MechAdd_ModSeverity'!P73</f>
        <v/>
      </c>
      <c r="AB73">
        <f>'2_MechAdd_ModSeverity'!Q73</f>
        <v/>
      </c>
      <c r="AC73">
        <f>'2_MechAdd_HighSeverity'!O73</f>
        <v/>
      </c>
      <c r="AD73">
        <f>'2_MechAdd_HighSeverity'!P73</f>
        <v/>
      </c>
      <c r="AE73">
        <f>'2_MechAdd_HighSeverity'!Q73</f>
        <v/>
      </c>
      <c r="AF73">
        <f>'2_MechAdd_LowSeverity'!R73</f>
        <v/>
      </c>
      <c r="AG73">
        <f>'2_MechAdd_LowSeverity'!S73</f>
        <v/>
      </c>
      <c r="AH73">
        <f>'2_MechAdd_LowSeverity'!T73</f>
        <v/>
      </c>
      <c r="AI73">
        <f>'2_MechAdd_LowSeverity'!U73</f>
        <v/>
      </c>
      <c r="AJ73">
        <f>'2_MechAdd_ModSeverity'!S73</f>
        <v/>
      </c>
      <c r="AK73">
        <f>'2_MechAdd_ModSeverity'!T73</f>
        <v/>
      </c>
      <c r="AL73">
        <f>'2_MechAdd_ModSeverity'!U73</f>
        <v/>
      </c>
      <c r="AM73">
        <f>'2_MechAdd_HighSeverity'!S73</f>
        <v/>
      </c>
      <c r="AN73">
        <f>'2_MechAdd_HighSeverity'!T73</f>
        <v/>
      </c>
      <c r="AO73">
        <f>'2_MechAdd_HighSeverity'!U73</f>
        <v/>
      </c>
      <c r="AP73">
        <f>'2_MechAdd_LowSeverity'!V73</f>
        <v/>
      </c>
      <c r="AQ73">
        <f>'2_MechAdd_LowSeverity'!W73</f>
        <v/>
      </c>
      <c r="AR73">
        <f>'2_MechAdd_LowSeverity'!X73</f>
        <v/>
      </c>
      <c r="AS73">
        <f>'2_MechAdd_LowSeverity'!Y73</f>
        <v/>
      </c>
      <c r="AT73">
        <f>'2_MechAdd_ModSeverity'!W73</f>
        <v/>
      </c>
      <c r="AU73">
        <f>'2_MechAdd_ModSeverity'!X73</f>
        <v/>
      </c>
      <c r="AV73">
        <f>'2_MechAdd_ModSeverity'!Y73</f>
        <v/>
      </c>
      <c r="AW73">
        <f>'2_MechAdd_HighSeverity'!W73</f>
        <v/>
      </c>
      <c r="AX73">
        <f>'2_MechAdd_HighSeverity'!X73</f>
        <v/>
      </c>
      <c r="AY73">
        <f>'2_MechAdd_HighSeverity'!Y73</f>
        <v/>
      </c>
      <c r="AZ73">
        <f>'2_MechAdd_LowSeverity'!Z73</f>
        <v/>
      </c>
      <c r="BA73">
        <f>'2_MechAdd_LowSeverity'!AA73</f>
        <v/>
      </c>
      <c r="BB73">
        <f>'2_MechAdd_LowSeverity'!AB73</f>
        <v/>
      </c>
      <c r="BC73">
        <f>'2_MechAdd_LowSeverity'!AC73</f>
        <v/>
      </c>
      <c r="BD73">
        <f>'2_MechAdd_ModSeverity'!AA73</f>
        <v/>
      </c>
      <c r="BE73">
        <f>'2_MechAdd_ModSeverity'!AB73</f>
        <v/>
      </c>
      <c r="BF73">
        <f>'2_MechAdd_ModSeverity'!AC73</f>
        <v/>
      </c>
      <c r="BG73">
        <f>'2_MechAdd_HighSeverity'!AA73</f>
        <v/>
      </c>
      <c r="BH73">
        <f>'2_MechAdd_HighSeverity'!AB73</f>
        <v/>
      </c>
      <c r="BI73">
        <f>'2_MechAdd_HighSeverity'!AC73</f>
        <v/>
      </c>
    </row>
    <row r="74">
      <c r="A74" s="34">
        <f>'2_MechAdd_Script'!A74</f>
        <v/>
      </c>
      <c r="B74">
        <f>'2_MechAdd_LowSeverity'!F74</f>
        <v/>
      </c>
      <c r="C74">
        <f>'2_MechAdd_LowSeverity'!G74</f>
        <v/>
      </c>
      <c r="D74">
        <f>'2_MechAdd_LowSeverity'!H74</f>
        <v/>
      </c>
      <c r="E74">
        <f>'2_MechAdd_LowSeverity'!I74</f>
        <v/>
      </c>
      <c r="F74">
        <f>'2_MechAdd_ModSeverity'!G74</f>
        <v/>
      </c>
      <c r="G74">
        <f>'2_MechAdd_ModSeverity'!H74</f>
        <v/>
      </c>
      <c r="H74">
        <f>'2_MechAdd_ModSeverity'!I74</f>
        <v/>
      </c>
      <c r="I74">
        <f>'2_MechAdd_HighSeverity'!G74</f>
        <v/>
      </c>
      <c r="J74">
        <f>'2_MechAdd_HighSeverity'!H74</f>
        <v/>
      </c>
      <c r="K74">
        <f>'2_MechAdd_HighSeverity'!I74</f>
        <v/>
      </c>
      <c r="L74">
        <f>'2_MechAdd_LowSeverity'!J74</f>
        <v/>
      </c>
      <c r="M74">
        <f>'2_MechAdd_LowSeverity'!K74</f>
        <v/>
      </c>
      <c r="N74">
        <f>'2_MechAdd_LowSeverity'!L74</f>
        <v/>
      </c>
      <c r="O74">
        <f>'2_MechAdd_LowSeverity'!M74</f>
        <v/>
      </c>
      <c r="P74">
        <f>'2_MechAdd_ModSeverity'!K74</f>
        <v/>
      </c>
      <c r="Q74">
        <f>'2_MechAdd_ModSeverity'!L74</f>
        <v/>
      </c>
      <c r="R74">
        <f>'2_MechAdd_ModSeverity'!M74</f>
        <v/>
      </c>
      <c r="S74">
        <f>'2_MechAdd_HighSeverity'!K74</f>
        <v/>
      </c>
      <c r="T74">
        <f>'2_MechAdd_HighSeverity'!L74</f>
        <v/>
      </c>
      <c r="U74">
        <f>'2_MechAdd_HighSeverity'!M74</f>
        <v/>
      </c>
      <c r="V74">
        <f>'2_MechAdd_LowSeverity'!N74</f>
        <v/>
      </c>
      <c r="W74">
        <f>'2_MechAdd_LowSeverity'!O74</f>
        <v/>
      </c>
      <c r="X74">
        <f>'2_MechAdd_LowSeverity'!P74</f>
        <v/>
      </c>
      <c r="Y74">
        <f>'2_MechAdd_LowSeverity'!Q74</f>
        <v/>
      </c>
      <c r="Z74">
        <f>'2_MechAdd_ModSeverity'!O74</f>
        <v/>
      </c>
      <c r="AA74">
        <f>'2_MechAdd_ModSeverity'!P74</f>
        <v/>
      </c>
      <c r="AB74">
        <f>'2_MechAdd_ModSeverity'!Q74</f>
        <v/>
      </c>
      <c r="AC74">
        <f>'2_MechAdd_HighSeverity'!O74</f>
        <v/>
      </c>
      <c r="AD74">
        <f>'2_MechAdd_HighSeverity'!P74</f>
        <v/>
      </c>
      <c r="AE74">
        <f>'2_MechAdd_HighSeverity'!Q74</f>
        <v/>
      </c>
      <c r="AF74">
        <f>'2_MechAdd_LowSeverity'!R74</f>
        <v/>
      </c>
      <c r="AG74">
        <f>'2_MechAdd_LowSeverity'!S74</f>
        <v/>
      </c>
      <c r="AH74">
        <f>'2_MechAdd_LowSeverity'!T74</f>
        <v/>
      </c>
      <c r="AI74">
        <f>'2_MechAdd_LowSeverity'!U74</f>
        <v/>
      </c>
      <c r="AJ74">
        <f>'2_MechAdd_ModSeverity'!S74</f>
        <v/>
      </c>
      <c r="AK74">
        <f>'2_MechAdd_ModSeverity'!T74</f>
        <v/>
      </c>
      <c r="AL74">
        <f>'2_MechAdd_ModSeverity'!U74</f>
        <v/>
      </c>
      <c r="AM74">
        <f>'2_MechAdd_HighSeverity'!S74</f>
        <v/>
      </c>
      <c r="AN74">
        <f>'2_MechAdd_HighSeverity'!T74</f>
        <v/>
      </c>
      <c r="AO74">
        <f>'2_MechAdd_HighSeverity'!U74</f>
        <v/>
      </c>
      <c r="AP74">
        <f>'2_MechAdd_LowSeverity'!V74</f>
        <v/>
      </c>
      <c r="AQ74">
        <f>'2_MechAdd_LowSeverity'!W74</f>
        <v/>
      </c>
      <c r="AR74">
        <f>'2_MechAdd_LowSeverity'!X74</f>
        <v/>
      </c>
      <c r="AS74">
        <f>'2_MechAdd_LowSeverity'!Y74</f>
        <v/>
      </c>
      <c r="AT74">
        <f>'2_MechAdd_ModSeverity'!W74</f>
        <v/>
      </c>
      <c r="AU74">
        <f>'2_MechAdd_ModSeverity'!X74</f>
        <v/>
      </c>
      <c r="AV74">
        <f>'2_MechAdd_ModSeverity'!Y74</f>
        <v/>
      </c>
      <c r="AW74">
        <f>'2_MechAdd_HighSeverity'!W74</f>
        <v/>
      </c>
      <c r="AX74">
        <f>'2_MechAdd_HighSeverity'!X74</f>
        <v/>
      </c>
      <c r="AY74">
        <f>'2_MechAdd_HighSeverity'!Y74</f>
        <v/>
      </c>
      <c r="AZ74">
        <f>'2_MechAdd_LowSeverity'!Z74</f>
        <v/>
      </c>
      <c r="BA74">
        <f>'2_MechAdd_LowSeverity'!AA74</f>
        <v/>
      </c>
      <c r="BB74">
        <f>'2_MechAdd_LowSeverity'!AB74</f>
        <v/>
      </c>
      <c r="BC74">
        <f>'2_MechAdd_LowSeverity'!AC74</f>
        <v/>
      </c>
      <c r="BD74">
        <f>'2_MechAdd_ModSeverity'!AA74</f>
        <v/>
      </c>
      <c r="BE74">
        <f>'2_MechAdd_ModSeverity'!AB74</f>
        <v/>
      </c>
      <c r="BF74">
        <f>'2_MechAdd_ModSeverity'!AC74</f>
        <v/>
      </c>
      <c r="BG74">
        <f>'2_MechAdd_HighSeverity'!AA74</f>
        <v/>
      </c>
      <c r="BH74">
        <f>'2_MechAdd_HighSeverity'!AB74</f>
        <v/>
      </c>
      <c r="BI74">
        <f>'2_MechAdd_HighSeverity'!AC74</f>
        <v/>
      </c>
    </row>
    <row r="75">
      <c r="A75" s="34">
        <f>'2_MechAdd_Script'!A75</f>
        <v/>
      </c>
      <c r="B75">
        <f>'2_MechAdd_LowSeverity'!F75</f>
        <v/>
      </c>
      <c r="C75">
        <f>'2_MechAdd_LowSeverity'!G75</f>
        <v/>
      </c>
      <c r="D75">
        <f>'2_MechAdd_LowSeverity'!H75</f>
        <v/>
      </c>
      <c r="E75">
        <f>'2_MechAdd_LowSeverity'!I75</f>
        <v/>
      </c>
      <c r="F75">
        <f>'2_MechAdd_ModSeverity'!G75</f>
        <v/>
      </c>
      <c r="G75">
        <f>'2_MechAdd_ModSeverity'!H75</f>
        <v/>
      </c>
      <c r="H75">
        <f>'2_MechAdd_ModSeverity'!I75</f>
        <v/>
      </c>
      <c r="I75">
        <f>'2_MechAdd_HighSeverity'!G75</f>
        <v/>
      </c>
      <c r="J75">
        <f>'2_MechAdd_HighSeverity'!H75</f>
        <v/>
      </c>
      <c r="K75">
        <f>'2_MechAdd_HighSeverity'!I75</f>
        <v/>
      </c>
      <c r="L75">
        <f>'2_MechAdd_LowSeverity'!J75</f>
        <v/>
      </c>
      <c r="M75">
        <f>'2_MechAdd_LowSeverity'!K75</f>
        <v/>
      </c>
      <c r="N75">
        <f>'2_MechAdd_LowSeverity'!L75</f>
        <v/>
      </c>
      <c r="O75">
        <f>'2_MechAdd_LowSeverity'!M75</f>
        <v/>
      </c>
      <c r="P75">
        <f>'2_MechAdd_ModSeverity'!K75</f>
        <v/>
      </c>
      <c r="Q75">
        <f>'2_MechAdd_ModSeverity'!L75</f>
        <v/>
      </c>
      <c r="R75">
        <f>'2_MechAdd_ModSeverity'!M75</f>
        <v/>
      </c>
      <c r="S75">
        <f>'2_MechAdd_HighSeverity'!K75</f>
        <v/>
      </c>
      <c r="T75">
        <f>'2_MechAdd_HighSeverity'!L75</f>
        <v/>
      </c>
      <c r="U75">
        <f>'2_MechAdd_HighSeverity'!M75</f>
        <v/>
      </c>
      <c r="V75">
        <f>'2_MechAdd_LowSeverity'!N75</f>
        <v/>
      </c>
      <c r="W75">
        <f>'2_MechAdd_LowSeverity'!O75</f>
        <v/>
      </c>
      <c r="X75">
        <f>'2_MechAdd_LowSeverity'!P75</f>
        <v/>
      </c>
      <c r="Y75">
        <f>'2_MechAdd_LowSeverity'!Q75</f>
        <v/>
      </c>
      <c r="Z75">
        <f>'2_MechAdd_ModSeverity'!O75</f>
        <v/>
      </c>
      <c r="AA75">
        <f>'2_MechAdd_ModSeverity'!P75</f>
        <v/>
      </c>
      <c r="AB75">
        <f>'2_MechAdd_ModSeverity'!Q75</f>
        <v/>
      </c>
      <c r="AC75">
        <f>'2_MechAdd_HighSeverity'!O75</f>
        <v/>
      </c>
      <c r="AD75">
        <f>'2_MechAdd_HighSeverity'!P75</f>
        <v/>
      </c>
      <c r="AE75">
        <f>'2_MechAdd_HighSeverity'!Q75</f>
        <v/>
      </c>
      <c r="AF75">
        <f>'2_MechAdd_LowSeverity'!R75</f>
        <v/>
      </c>
      <c r="AG75">
        <f>'2_MechAdd_LowSeverity'!S75</f>
        <v/>
      </c>
      <c r="AH75">
        <f>'2_MechAdd_LowSeverity'!T75</f>
        <v/>
      </c>
      <c r="AI75">
        <f>'2_MechAdd_LowSeverity'!U75</f>
        <v/>
      </c>
      <c r="AJ75">
        <f>'2_MechAdd_ModSeverity'!S75</f>
        <v/>
      </c>
      <c r="AK75">
        <f>'2_MechAdd_ModSeverity'!T75</f>
        <v/>
      </c>
      <c r="AL75">
        <f>'2_MechAdd_ModSeverity'!U75</f>
        <v/>
      </c>
      <c r="AM75">
        <f>'2_MechAdd_HighSeverity'!S75</f>
        <v/>
      </c>
      <c r="AN75">
        <f>'2_MechAdd_HighSeverity'!T75</f>
        <v/>
      </c>
      <c r="AO75">
        <f>'2_MechAdd_HighSeverity'!U75</f>
        <v/>
      </c>
      <c r="AP75">
        <f>'2_MechAdd_LowSeverity'!V75</f>
        <v/>
      </c>
      <c r="AQ75">
        <f>'2_MechAdd_LowSeverity'!W75</f>
        <v/>
      </c>
      <c r="AR75">
        <f>'2_MechAdd_LowSeverity'!X75</f>
        <v/>
      </c>
      <c r="AS75">
        <f>'2_MechAdd_LowSeverity'!Y75</f>
        <v/>
      </c>
      <c r="AT75">
        <f>'2_MechAdd_ModSeverity'!W75</f>
        <v/>
      </c>
      <c r="AU75">
        <f>'2_MechAdd_ModSeverity'!X75</f>
        <v/>
      </c>
      <c r="AV75">
        <f>'2_MechAdd_ModSeverity'!Y75</f>
        <v/>
      </c>
      <c r="AW75">
        <f>'2_MechAdd_HighSeverity'!W75</f>
        <v/>
      </c>
      <c r="AX75">
        <f>'2_MechAdd_HighSeverity'!X75</f>
        <v/>
      </c>
      <c r="AY75">
        <f>'2_MechAdd_HighSeverity'!Y75</f>
        <v/>
      </c>
      <c r="AZ75">
        <f>'2_MechAdd_LowSeverity'!Z75</f>
        <v/>
      </c>
      <c r="BA75">
        <f>'2_MechAdd_LowSeverity'!AA75</f>
        <v/>
      </c>
      <c r="BB75">
        <f>'2_MechAdd_LowSeverity'!AB75</f>
        <v/>
      </c>
      <c r="BC75">
        <f>'2_MechAdd_LowSeverity'!AC75</f>
        <v/>
      </c>
      <c r="BD75">
        <f>'2_MechAdd_ModSeverity'!AA75</f>
        <v/>
      </c>
      <c r="BE75">
        <f>'2_MechAdd_ModSeverity'!AB75</f>
        <v/>
      </c>
      <c r="BF75">
        <f>'2_MechAdd_ModSeverity'!AC75</f>
        <v/>
      </c>
      <c r="BG75">
        <f>'2_MechAdd_HighSeverity'!AA75</f>
        <v/>
      </c>
      <c r="BH75">
        <f>'2_MechAdd_HighSeverity'!AB75</f>
        <v/>
      </c>
      <c r="BI75">
        <f>'2_MechAdd_HighSeverity'!AC75</f>
        <v/>
      </c>
    </row>
    <row r="76">
      <c r="A76" s="34">
        <f>'2_MechAdd_Script'!A76</f>
        <v/>
      </c>
      <c r="B76">
        <f>'2_MechAdd_LowSeverity'!F76</f>
        <v/>
      </c>
      <c r="C76">
        <f>'2_MechAdd_LowSeverity'!G76</f>
        <v/>
      </c>
      <c r="D76">
        <f>'2_MechAdd_LowSeverity'!H76</f>
        <v/>
      </c>
      <c r="E76">
        <f>'2_MechAdd_LowSeverity'!I76</f>
        <v/>
      </c>
      <c r="F76">
        <f>'2_MechAdd_ModSeverity'!G76</f>
        <v/>
      </c>
      <c r="G76">
        <f>'2_MechAdd_ModSeverity'!H76</f>
        <v/>
      </c>
      <c r="H76">
        <f>'2_MechAdd_ModSeverity'!I76</f>
        <v/>
      </c>
      <c r="I76">
        <f>'2_MechAdd_HighSeverity'!G76</f>
        <v/>
      </c>
      <c r="J76">
        <f>'2_MechAdd_HighSeverity'!H76</f>
        <v/>
      </c>
      <c r="K76">
        <f>'2_MechAdd_HighSeverity'!I76</f>
        <v/>
      </c>
      <c r="L76">
        <f>'2_MechAdd_LowSeverity'!J76</f>
        <v/>
      </c>
      <c r="M76">
        <f>'2_MechAdd_LowSeverity'!K76</f>
        <v/>
      </c>
      <c r="N76">
        <f>'2_MechAdd_LowSeverity'!L76</f>
        <v/>
      </c>
      <c r="O76">
        <f>'2_MechAdd_LowSeverity'!M76</f>
        <v/>
      </c>
      <c r="P76">
        <f>'2_MechAdd_ModSeverity'!K76</f>
        <v/>
      </c>
      <c r="Q76">
        <f>'2_MechAdd_ModSeverity'!L76</f>
        <v/>
      </c>
      <c r="R76">
        <f>'2_MechAdd_ModSeverity'!M76</f>
        <v/>
      </c>
      <c r="S76">
        <f>'2_MechAdd_HighSeverity'!K76</f>
        <v/>
      </c>
      <c r="T76">
        <f>'2_MechAdd_HighSeverity'!L76</f>
        <v/>
      </c>
      <c r="U76">
        <f>'2_MechAdd_HighSeverity'!M76</f>
        <v/>
      </c>
      <c r="V76">
        <f>'2_MechAdd_LowSeverity'!N76</f>
        <v/>
      </c>
      <c r="W76">
        <f>'2_MechAdd_LowSeverity'!O76</f>
        <v/>
      </c>
      <c r="X76">
        <f>'2_MechAdd_LowSeverity'!P76</f>
        <v/>
      </c>
      <c r="Y76">
        <f>'2_MechAdd_LowSeverity'!Q76</f>
        <v/>
      </c>
      <c r="Z76">
        <f>'2_MechAdd_ModSeverity'!O76</f>
        <v/>
      </c>
      <c r="AA76">
        <f>'2_MechAdd_ModSeverity'!P76</f>
        <v/>
      </c>
      <c r="AB76">
        <f>'2_MechAdd_ModSeverity'!Q76</f>
        <v/>
      </c>
      <c r="AC76">
        <f>'2_MechAdd_HighSeverity'!O76</f>
        <v/>
      </c>
      <c r="AD76">
        <f>'2_MechAdd_HighSeverity'!P76</f>
        <v/>
      </c>
      <c r="AE76">
        <f>'2_MechAdd_HighSeverity'!Q76</f>
        <v/>
      </c>
      <c r="AF76">
        <f>'2_MechAdd_LowSeverity'!R76</f>
        <v/>
      </c>
      <c r="AG76">
        <f>'2_MechAdd_LowSeverity'!S76</f>
        <v/>
      </c>
      <c r="AH76">
        <f>'2_MechAdd_LowSeverity'!T76</f>
        <v/>
      </c>
      <c r="AI76">
        <f>'2_MechAdd_LowSeverity'!U76</f>
        <v/>
      </c>
      <c r="AJ76">
        <f>'2_MechAdd_ModSeverity'!S76</f>
        <v/>
      </c>
      <c r="AK76">
        <f>'2_MechAdd_ModSeverity'!T76</f>
        <v/>
      </c>
      <c r="AL76">
        <f>'2_MechAdd_ModSeverity'!U76</f>
        <v/>
      </c>
      <c r="AM76">
        <f>'2_MechAdd_HighSeverity'!S76</f>
        <v/>
      </c>
      <c r="AN76">
        <f>'2_MechAdd_HighSeverity'!T76</f>
        <v/>
      </c>
      <c r="AO76">
        <f>'2_MechAdd_HighSeverity'!U76</f>
        <v/>
      </c>
      <c r="AP76">
        <f>'2_MechAdd_LowSeverity'!V76</f>
        <v/>
      </c>
      <c r="AQ76">
        <f>'2_MechAdd_LowSeverity'!W76</f>
        <v/>
      </c>
      <c r="AR76">
        <f>'2_MechAdd_LowSeverity'!X76</f>
        <v/>
      </c>
      <c r="AS76">
        <f>'2_MechAdd_LowSeverity'!Y76</f>
        <v/>
      </c>
      <c r="AT76">
        <f>'2_MechAdd_ModSeverity'!W76</f>
        <v/>
      </c>
      <c r="AU76">
        <f>'2_MechAdd_ModSeverity'!X76</f>
        <v/>
      </c>
      <c r="AV76">
        <f>'2_MechAdd_ModSeverity'!Y76</f>
        <v/>
      </c>
      <c r="AW76">
        <f>'2_MechAdd_HighSeverity'!W76</f>
        <v/>
      </c>
      <c r="AX76">
        <f>'2_MechAdd_HighSeverity'!X76</f>
        <v/>
      </c>
      <c r="AY76">
        <f>'2_MechAdd_HighSeverity'!Y76</f>
        <v/>
      </c>
      <c r="AZ76">
        <f>'2_MechAdd_LowSeverity'!Z76</f>
        <v/>
      </c>
      <c r="BA76">
        <f>'2_MechAdd_LowSeverity'!AA76</f>
        <v/>
      </c>
      <c r="BB76">
        <f>'2_MechAdd_LowSeverity'!AB76</f>
        <v/>
      </c>
      <c r="BC76">
        <f>'2_MechAdd_LowSeverity'!AC76</f>
        <v/>
      </c>
      <c r="BD76">
        <f>'2_MechAdd_ModSeverity'!AA76</f>
        <v/>
      </c>
      <c r="BE76">
        <f>'2_MechAdd_ModSeverity'!AB76</f>
        <v/>
      </c>
      <c r="BF76">
        <f>'2_MechAdd_ModSeverity'!AC76</f>
        <v/>
      </c>
      <c r="BG76">
        <f>'2_MechAdd_HighSeverity'!AA76</f>
        <v/>
      </c>
      <c r="BH76">
        <f>'2_MechAdd_HighSeverity'!AB76</f>
        <v/>
      </c>
      <c r="BI76">
        <f>'2_MechAdd_HighSeverity'!AC76</f>
        <v/>
      </c>
    </row>
    <row r="77">
      <c r="A77" s="34">
        <f>'2_MechAdd_Script'!A77</f>
        <v/>
      </c>
      <c r="B77">
        <f>'2_MechAdd_LowSeverity'!F77</f>
        <v/>
      </c>
      <c r="C77">
        <f>'2_MechAdd_LowSeverity'!G77</f>
        <v/>
      </c>
      <c r="D77">
        <f>'2_MechAdd_LowSeverity'!H77</f>
        <v/>
      </c>
      <c r="E77">
        <f>'2_MechAdd_LowSeverity'!I77</f>
        <v/>
      </c>
      <c r="F77">
        <f>'2_MechAdd_ModSeverity'!G77</f>
        <v/>
      </c>
      <c r="G77">
        <f>'2_MechAdd_ModSeverity'!H77</f>
        <v/>
      </c>
      <c r="H77">
        <f>'2_MechAdd_ModSeverity'!I77</f>
        <v/>
      </c>
      <c r="I77">
        <f>'2_MechAdd_HighSeverity'!G77</f>
        <v/>
      </c>
      <c r="J77">
        <f>'2_MechAdd_HighSeverity'!H77</f>
        <v/>
      </c>
      <c r="K77">
        <f>'2_MechAdd_HighSeverity'!I77</f>
        <v/>
      </c>
      <c r="L77">
        <f>'2_MechAdd_LowSeverity'!J77</f>
        <v/>
      </c>
      <c r="M77">
        <f>'2_MechAdd_LowSeverity'!K77</f>
        <v/>
      </c>
      <c r="N77">
        <f>'2_MechAdd_LowSeverity'!L77</f>
        <v/>
      </c>
      <c r="O77">
        <f>'2_MechAdd_LowSeverity'!M77</f>
        <v/>
      </c>
      <c r="P77">
        <f>'2_MechAdd_ModSeverity'!K77</f>
        <v/>
      </c>
      <c r="Q77">
        <f>'2_MechAdd_ModSeverity'!L77</f>
        <v/>
      </c>
      <c r="R77">
        <f>'2_MechAdd_ModSeverity'!M77</f>
        <v/>
      </c>
      <c r="S77">
        <f>'2_MechAdd_HighSeverity'!K77</f>
        <v/>
      </c>
      <c r="T77">
        <f>'2_MechAdd_HighSeverity'!L77</f>
        <v/>
      </c>
      <c r="U77">
        <f>'2_MechAdd_HighSeverity'!M77</f>
        <v/>
      </c>
      <c r="V77">
        <f>'2_MechAdd_LowSeverity'!N77</f>
        <v/>
      </c>
      <c r="W77">
        <f>'2_MechAdd_LowSeverity'!O77</f>
        <v/>
      </c>
      <c r="X77">
        <f>'2_MechAdd_LowSeverity'!P77</f>
        <v/>
      </c>
      <c r="Y77">
        <f>'2_MechAdd_LowSeverity'!Q77</f>
        <v/>
      </c>
      <c r="Z77">
        <f>'2_MechAdd_ModSeverity'!O77</f>
        <v/>
      </c>
      <c r="AA77">
        <f>'2_MechAdd_ModSeverity'!P77</f>
        <v/>
      </c>
      <c r="AB77">
        <f>'2_MechAdd_ModSeverity'!Q77</f>
        <v/>
      </c>
      <c r="AC77">
        <f>'2_MechAdd_HighSeverity'!O77</f>
        <v/>
      </c>
      <c r="AD77">
        <f>'2_MechAdd_HighSeverity'!P77</f>
        <v/>
      </c>
      <c r="AE77">
        <f>'2_MechAdd_HighSeverity'!Q77</f>
        <v/>
      </c>
      <c r="AF77">
        <f>'2_MechAdd_LowSeverity'!R77</f>
        <v/>
      </c>
      <c r="AG77">
        <f>'2_MechAdd_LowSeverity'!S77</f>
        <v/>
      </c>
      <c r="AH77">
        <f>'2_MechAdd_LowSeverity'!T77</f>
        <v/>
      </c>
      <c r="AI77">
        <f>'2_MechAdd_LowSeverity'!U77</f>
        <v/>
      </c>
      <c r="AJ77">
        <f>'2_MechAdd_ModSeverity'!S77</f>
        <v/>
      </c>
      <c r="AK77">
        <f>'2_MechAdd_ModSeverity'!T77</f>
        <v/>
      </c>
      <c r="AL77">
        <f>'2_MechAdd_ModSeverity'!U77</f>
        <v/>
      </c>
      <c r="AM77">
        <f>'2_MechAdd_HighSeverity'!S77</f>
        <v/>
      </c>
      <c r="AN77">
        <f>'2_MechAdd_HighSeverity'!T77</f>
        <v/>
      </c>
      <c r="AO77">
        <f>'2_MechAdd_HighSeverity'!U77</f>
        <v/>
      </c>
      <c r="AP77">
        <f>'2_MechAdd_LowSeverity'!V77</f>
        <v/>
      </c>
      <c r="AQ77">
        <f>'2_MechAdd_LowSeverity'!W77</f>
        <v/>
      </c>
      <c r="AR77">
        <f>'2_MechAdd_LowSeverity'!X77</f>
        <v/>
      </c>
      <c r="AS77">
        <f>'2_MechAdd_LowSeverity'!Y77</f>
        <v/>
      </c>
      <c r="AT77">
        <f>'2_MechAdd_ModSeverity'!W77</f>
        <v/>
      </c>
      <c r="AU77">
        <f>'2_MechAdd_ModSeverity'!X77</f>
        <v/>
      </c>
      <c r="AV77">
        <f>'2_MechAdd_ModSeverity'!Y77</f>
        <v/>
      </c>
      <c r="AW77">
        <f>'2_MechAdd_HighSeverity'!W77</f>
        <v/>
      </c>
      <c r="AX77">
        <f>'2_MechAdd_HighSeverity'!X77</f>
        <v/>
      </c>
      <c r="AY77">
        <f>'2_MechAdd_HighSeverity'!Y77</f>
        <v/>
      </c>
      <c r="AZ77">
        <f>'2_MechAdd_LowSeverity'!Z77</f>
        <v/>
      </c>
      <c r="BA77">
        <f>'2_MechAdd_LowSeverity'!AA77</f>
        <v/>
      </c>
      <c r="BB77">
        <f>'2_MechAdd_LowSeverity'!AB77</f>
        <v/>
      </c>
      <c r="BC77">
        <f>'2_MechAdd_LowSeverity'!AC77</f>
        <v/>
      </c>
      <c r="BD77">
        <f>'2_MechAdd_ModSeverity'!AA77</f>
        <v/>
      </c>
      <c r="BE77">
        <f>'2_MechAdd_ModSeverity'!AB77</f>
        <v/>
      </c>
      <c r="BF77">
        <f>'2_MechAdd_ModSeverity'!AC77</f>
        <v/>
      </c>
      <c r="BG77">
        <f>'2_MechAdd_HighSeverity'!AA77</f>
        <v/>
      </c>
      <c r="BH77">
        <f>'2_MechAdd_HighSeverity'!AB77</f>
        <v/>
      </c>
      <c r="BI77">
        <f>'2_MechAdd_HighSeverity'!AC77</f>
        <v/>
      </c>
    </row>
    <row r="78">
      <c r="A78" s="34">
        <f>'2_MechAdd_Script'!A78</f>
        <v/>
      </c>
      <c r="B78">
        <f>'2_MechAdd_LowSeverity'!F78</f>
        <v/>
      </c>
      <c r="C78">
        <f>'2_MechAdd_LowSeverity'!G78</f>
        <v/>
      </c>
      <c r="D78">
        <f>'2_MechAdd_LowSeverity'!H78</f>
        <v/>
      </c>
      <c r="E78">
        <f>'2_MechAdd_LowSeverity'!I78</f>
        <v/>
      </c>
      <c r="F78">
        <f>'2_MechAdd_ModSeverity'!G78</f>
        <v/>
      </c>
      <c r="G78">
        <f>'2_MechAdd_ModSeverity'!H78</f>
        <v/>
      </c>
      <c r="H78">
        <f>'2_MechAdd_ModSeverity'!I78</f>
        <v/>
      </c>
      <c r="I78">
        <f>'2_MechAdd_HighSeverity'!G78</f>
        <v/>
      </c>
      <c r="J78">
        <f>'2_MechAdd_HighSeverity'!H78</f>
        <v/>
      </c>
      <c r="K78">
        <f>'2_MechAdd_HighSeverity'!I78</f>
        <v/>
      </c>
      <c r="L78">
        <f>'2_MechAdd_LowSeverity'!J78</f>
        <v/>
      </c>
      <c r="M78">
        <f>'2_MechAdd_LowSeverity'!K78</f>
        <v/>
      </c>
      <c r="N78">
        <f>'2_MechAdd_LowSeverity'!L78</f>
        <v/>
      </c>
      <c r="O78">
        <f>'2_MechAdd_LowSeverity'!M78</f>
        <v/>
      </c>
      <c r="P78">
        <f>'2_MechAdd_ModSeverity'!K78</f>
        <v/>
      </c>
      <c r="Q78">
        <f>'2_MechAdd_ModSeverity'!L78</f>
        <v/>
      </c>
      <c r="R78">
        <f>'2_MechAdd_ModSeverity'!M78</f>
        <v/>
      </c>
      <c r="S78">
        <f>'2_MechAdd_HighSeverity'!K78</f>
        <v/>
      </c>
      <c r="T78">
        <f>'2_MechAdd_HighSeverity'!L78</f>
        <v/>
      </c>
      <c r="U78">
        <f>'2_MechAdd_HighSeverity'!M78</f>
        <v/>
      </c>
      <c r="V78">
        <f>'2_MechAdd_LowSeverity'!N78</f>
        <v/>
      </c>
      <c r="W78">
        <f>'2_MechAdd_LowSeverity'!O78</f>
        <v/>
      </c>
      <c r="X78">
        <f>'2_MechAdd_LowSeverity'!P78</f>
        <v/>
      </c>
      <c r="Y78">
        <f>'2_MechAdd_LowSeverity'!Q78</f>
        <v/>
      </c>
      <c r="Z78">
        <f>'2_MechAdd_ModSeverity'!O78</f>
        <v/>
      </c>
      <c r="AA78">
        <f>'2_MechAdd_ModSeverity'!P78</f>
        <v/>
      </c>
      <c r="AB78">
        <f>'2_MechAdd_ModSeverity'!Q78</f>
        <v/>
      </c>
      <c r="AC78">
        <f>'2_MechAdd_HighSeverity'!O78</f>
        <v/>
      </c>
      <c r="AD78">
        <f>'2_MechAdd_HighSeverity'!P78</f>
        <v/>
      </c>
      <c r="AE78">
        <f>'2_MechAdd_HighSeverity'!Q78</f>
        <v/>
      </c>
      <c r="AF78">
        <f>'2_MechAdd_LowSeverity'!R78</f>
        <v/>
      </c>
      <c r="AG78">
        <f>'2_MechAdd_LowSeverity'!S78</f>
        <v/>
      </c>
      <c r="AH78">
        <f>'2_MechAdd_LowSeverity'!T78</f>
        <v/>
      </c>
      <c r="AI78">
        <f>'2_MechAdd_LowSeverity'!U78</f>
        <v/>
      </c>
      <c r="AJ78">
        <f>'2_MechAdd_ModSeverity'!S78</f>
        <v/>
      </c>
      <c r="AK78">
        <f>'2_MechAdd_ModSeverity'!T78</f>
        <v/>
      </c>
      <c r="AL78">
        <f>'2_MechAdd_ModSeverity'!U78</f>
        <v/>
      </c>
      <c r="AM78">
        <f>'2_MechAdd_HighSeverity'!S78</f>
        <v/>
      </c>
      <c r="AN78">
        <f>'2_MechAdd_HighSeverity'!T78</f>
        <v/>
      </c>
      <c r="AO78">
        <f>'2_MechAdd_HighSeverity'!U78</f>
        <v/>
      </c>
      <c r="AP78">
        <f>'2_MechAdd_LowSeverity'!V78</f>
        <v/>
      </c>
      <c r="AQ78">
        <f>'2_MechAdd_LowSeverity'!W78</f>
        <v/>
      </c>
      <c r="AR78">
        <f>'2_MechAdd_LowSeverity'!X78</f>
        <v/>
      </c>
      <c r="AS78">
        <f>'2_MechAdd_LowSeverity'!Y78</f>
        <v/>
      </c>
      <c r="AT78">
        <f>'2_MechAdd_ModSeverity'!W78</f>
        <v/>
      </c>
      <c r="AU78">
        <f>'2_MechAdd_ModSeverity'!X78</f>
        <v/>
      </c>
      <c r="AV78">
        <f>'2_MechAdd_ModSeverity'!Y78</f>
        <v/>
      </c>
      <c r="AW78">
        <f>'2_MechAdd_HighSeverity'!W78</f>
        <v/>
      </c>
      <c r="AX78">
        <f>'2_MechAdd_HighSeverity'!X78</f>
        <v/>
      </c>
      <c r="AY78">
        <f>'2_MechAdd_HighSeverity'!Y78</f>
        <v/>
      </c>
      <c r="AZ78">
        <f>'2_MechAdd_LowSeverity'!Z78</f>
        <v/>
      </c>
      <c r="BA78">
        <f>'2_MechAdd_LowSeverity'!AA78</f>
        <v/>
      </c>
      <c r="BB78">
        <f>'2_MechAdd_LowSeverity'!AB78</f>
        <v/>
      </c>
      <c r="BC78">
        <f>'2_MechAdd_LowSeverity'!AC78</f>
        <v/>
      </c>
      <c r="BD78">
        <f>'2_MechAdd_ModSeverity'!AA78</f>
        <v/>
      </c>
      <c r="BE78">
        <f>'2_MechAdd_ModSeverity'!AB78</f>
        <v/>
      </c>
      <c r="BF78">
        <f>'2_MechAdd_ModSeverity'!AC78</f>
        <v/>
      </c>
      <c r="BG78">
        <f>'2_MechAdd_HighSeverity'!AA78</f>
        <v/>
      </c>
      <c r="BH78">
        <f>'2_MechAdd_HighSeverity'!AB78</f>
        <v/>
      </c>
      <c r="BI78">
        <f>'2_MechAdd_HighSeverity'!AC78</f>
        <v/>
      </c>
    </row>
    <row r="79">
      <c r="A79" s="34">
        <f>'2_MechAdd_Script'!A79</f>
        <v/>
      </c>
      <c r="B79">
        <f>'2_MechAdd_LowSeverity'!F79</f>
        <v/>
      </c>
      <c r="C79">
        <f>'2_MechAdd_LowSeverity'!G79</f>
        <v/>
      </c>
      <c r="D79">
        <f>'2_MechAdd_LowSeverity'!H79</f>
        <v/>
      </c>
      <c r="E79">
        <f>'2_MechAdd_LowSeverity'!I79</f>
        <v/>
      </c>
      <c r="F79">
        <f>'2_MechAdd_ModSeverity'!G79</f>
        <v/>
      </c>
      <c r="G79">
        <f>'2_MechAdd_ModSeverity'!H79</f>
        <v/>
      </c>
      <c r="H79">
        <f>'2_MechAdd_ModSeverity'!I79</f>
        <v/>
      </c>
      <c r="I79">
        <f>'2_MechAdd_HighSeverity'!G79</f>
        <v/>
      </c>
      <c r="J79">
        <f>'2_MechAdd_HighSeverity'!H79</f>
        <v/>
      </c>
      <c r="K79">
        <f>'2_MechAdd_HighSeverity'!I79</f>
        <v/>
      </c>
      <c r="L79">
        <f>'2_MechAdd_LowSeverity'!J79</f>
        <v/>
      </c>
      <c r="M79">
        <f>'2_MechAdd_LowSeverity'!K79</f>
        <v/>
      </c>
      <c r="N79">
        <f>'2_MechAdd_LowSeverity'!L79</f>
        <v/>
      </c>
      <c r="O79">
        <f>'2_MechAdd_LowSeverity'!M79</f>
        <v/>
      </c>
      <c r="P79">
        <f>'2_MechAdd_ModSeverity'!K79</f>
        <v/>
      </c>
      <c r="Q79">
        <f>'2_MechAdd_ModSeverity'!L79</f>
        <v/>
      </c>
      <c r="R79">
        <f>'2_MechAdd_ModSeverity'!M79</f>
        <v/>
      </c>
      <c r="S79">
        <f>'2_MechAdd_HighSeverity'!K79</f>
        <v/>
      </c>
      <c r="T79">
        <f>'2_MechAdd_HighSeverity'!L79</f>
        <v/>
      </c>
      <c r="U79">
        <f>'2_MechAdd_HighSeverity'!M79</f>
        <v/>
      </c>
      <c r="V79">
        <f>'2_MechAdd_LowSeverity'!N79</f>
        <v/>
      </c>
      <c r="W79">
        <f>'2_MechAdd_LowSeverity'!O79</f>
        <v/>
      </c>
      <c r="X79">
        <f>'2_MechAdd_LowSeverity'!P79</f>
        <v/>
      </c>
      <c r="Y79">
        <f>'2_MechAdd_LowSeverity'!Q79</f>
        <v/>
      </c>
      <c r="Z79">
        <f>'2_MechAdd_ModSeverity'!O79</f>
        <v/>
      </c>
      <c r="AA79">
        <f>'2_MechAdd_ModSeverity'!P79</f>
        <v/>
      </c>
      <c r="AB79">
        <f>'2_MechAdd_ModSeverity'!Q79</f>
        <v/>
      </c>
      <c r="AC79">
        <f>'2_MechAdd_HighSeverity'!O79</f>
        <v/>
      </c>
      <c r="AD79">
        <f>'2_MechAdd_HighSeverity'!P79</f>
        <v/>
      </c>
      <c r="AE79">
        <f>'2_MechAdd_HighSeverity'!Q79</f>
        <v/>
      </c>
      <c r="AF79">
        <f>'2_MechAdd_LowSeverity'!R79</f>
        <v/>
      </c>
      <c r="AG79">
        <f>'2_MechAdd_LowSeverity'!S79</f>
        <v/>
      </c>
      <c r="AH79">
        <f>'2_MechAdd_LowSeverity'!T79</f>
        <v/>
      </c>
      <c r="AI79">
        <f>'2_MechAdd_LowSeverity'!U79</f>
        <v/>
      </c>
      <c r="AJ79">
        <f>'2_MechAdd_ModSeverity'!S79</f>
        <v/>
      </c>
      <c r="AK79">
        <f>'2_MechAdd_ModSeverity'!T79</f>
        <v/>
      </c>
      <c r="AL79">
        <f>'2_MechAdd_ModSeverity'!U79</f>
        <v/>
      </c>
      <c r="AM79">
        <f>'2_MechAdd_HighSeverity'!S79</f>
        <v/>
      </c>
      <c r="AN79">
        <f>'2_MechAdd_HighSeverity'!T79</f>
        <v/>
      </c>
      <c r="AO79">
        <f>'2_MechAdd_HighSeverity'!U79</f>
        <v/>
      </c>
      <c r="AP79">
        <f>'2_MechAdd_LowSeverity'!V79</f>
        <v/>
      </c>
      <c r="AQ79">
        <f>'2_MechAdd_LowSeverity'!W79</f>
        <v/>
      </c>
      <c r="AR79">
        <f>'2_MechAdd_LowSeverity'!X79</f>
        <v/>
      </c>
      <c r="AS79">
        <f>'2_MechAdd_LowSeverity'!Y79</f>
        <v/>
      </c>
      <c r="AT79">
        <f>'2_MechAdd_ModSeverity'!W79</f>
        <v/>
      </c>
      <c r="AU79">
        <f>'2_MechAdd_ModSeverity'!X79</f>
        <v/>
      </c>
      <c r="AV79">
        <f>'2_MechAdd_ModSeverity'!Y79</f>
        <v/>
      </c>
      <c r="AW79">
        <f>'2_MechAdd_HighSeverity'!W79</f>
        <v/>
      </c>
      <c r="AX79">
        <f>'2_MechAdd_HighSeverity'!X79</f>
        <v/>
      </c>
      <c r="AY79">
        <f>'2_MechAdd_HighSeverity'!Y79</f>
        <v/>
      </c>
      <c r="AZ79">
        <f>'2_MechAdd_LowSeverity'!Z79</f>
        <v/>
      </c>
      <c r="BA79">
        <f>'2_MechAdd_LowSeverity'!AA79</f>
        <v/>
      </c>
      <c r="BB79">
        <f>'2_MechAdd_LowSeverity'!AB79</f>
        <v/>
      </c>
      <c r="BC79">
        <f>'2_MechAdd_LowSeverity'!AC79</f>
        <v/>
      </c>
      <c r="BD79">
        <f>'2_MechAdd_ModSeverity'!AA79</f>
        <v/>
      </c>
      <c r="BE79">
        <f>'2_MechAdd_ModSeverity'!AB79</f>
        <v/>
      </c>
      <c r="BF79">
        <f>'2_MechAdd_ModSeverity'!AC79</f>
        <v/>
      </c>
      <c r="BG79">
        <f>'2_MechAdd_HighSeverity'!AA79</f>
        <v/>
      </c>
      <c r="BH79">
        <f>'2_MechAdd_HighSeverity'!AB79</f>
        <v/>
      </c>
      <c r="BI79">
        <f>'2_MechAdd_HighSeverity'!AC79</f>
        <v/>
      </c>
    </row>
    <row r="80">
      <c r="A80" s="34">
        <f>'2_MechAdd_Script'!A80</f>
        <v/>
      </c>
      <c r="B80">
        <f>'2_MechAdd_LowSeverity'!F80</f>
        <v/>
      </c>
      <c r="C80">
        <f>'2_MechAdd_LowSeverity'!G80</f>
        <v/>
      </c>
      <c r="D80">
        <f>'2_MechAdd_LowSeverity'!H80</f>
        <v/>
      </c>
      <c r="E80">
        <f>'2_MechAdd_LowSeverity'!I80</f>
        <v/>
      </c>
      <c r="F80">
        <f>'2_MechAdd_ModSeverity'!G80</f>
        <v/>
      </c>
      <c r="G80">
        <f>'2_MechAdd_ModSeverity'!H80</f>
        <v/>
      </c>
      <c r="H80">
        <f>'2_MechAdd_ModSeverity'!I80</f>
        <v/>
      </c>
      <c r="I80">
        <f>'2_MechAdd_HighSeverity'!G80</f>
        <v/>
      </c>
      <c r="J80">
        <f>'2_MechAdd_HighSeverity'!H80</f>
        <v/>
      </c>
      <c r="K80">
        <f>'2_MechAdd_HighSeverity'!I80</f>
        <v/>
      </c>
      <c r="L80">
        <f>'2_MechAdd_LowSeverity'!J80</f>
        <v/>
      </c>
      <c r="M80">
        <f>'2_MechAdd_LowSeverity'!K80</f>
        <v/>
      </c>
      <c r="N80">
        <f>'2_MechAdd_LowSeverity'!L80</f>
        <v/>
      </c>
      <c r="O80">
        <f>'2_MechAdd_LowSeverity'!M80</f>
        <v/>
      </c>
      <c r="P80">
        <f>'2_MechAdd_ModSeverity'!K80</f>
        <v/>
      </c>
      <c r="Q80">
        <f>'2_MechAdd_ModSeverity'!L80</f>
        <v/>
      </c>
      <c r="R80">
        <f>'2_MechAdd_ModSeverity'!M80</f>
        <v/>
      </c>
      <c r="S80">
        <f>'2_MechAdd_HighSeverity'!K80</f>
        <v/>
      </c>
      <c r="T80">
        <f>'2_MechAdd_HighSeverity'!L80</f>
        <v/>
      </c>
      <c r="U80">
        <f>'2_MechAdd_HighSeverity'!M80</f>
        <v/>
      </c>
      <c r="V80">
        <f>'2_MechAdd_LowSeverity'!N80</f>
        <v/>
      </c>
      <c r="W80">
        <f>'2_MechAdd_LowSeverity'!O80</f>
        <v/>
      </c>
      <c r="X80">
        <f>'2_MechAdd_LowSeverity'!P80</f>
        <v/>
      </c>
      <c r="Y80">
        <f>'2_MechAdd_LowSeverity'!Q80</f>
        <v/>
      </c>
      <c r="Z80">
        <f>'2_MechAdd_ModSeverity'!O80</f>
        <v/>
      </c>
      <c r="AA80">
        <f>'2_MechAdd_ModSeverity'!P80</f>
        <v/>
      </c>
      <c r="AB80">
        <f>'2_MechAdd_ModSeverity'!Q80</f>
        <v/>
      </c>
      <c r="AC80">
        <f>'2_MechAdd_HighSeverity'!O80</f>
        <v/>
      </c>
      <c r="AD80">
        <f>'2_MechAdd_HighSeverity'!P80</f>
        <v/>
      </c>
      <c r="AE80">
        <f>'2_MechAdd_HighSeverity'!Q80</f>
        <v/>
      </c>
      <c r="AF80">
        <f>'2_MechAdd_LowSeverity'!R80</f>
        <v/>
      </c>
      <c r="AG80">
        <f>'2_MechAdd_LowSeverity'!S80</f>
        <v/>
      </c>
      <c r="AH80">
        <f>'2_MechAdd_LowSeverity'!T80</f>
        <v/>
      </c>
      <c r="AI80">
        <f>'2_MechAdd_LowSeverity'!U80</f>
        <v/>
      </c>
      <c r="AJ80">
        <f>'2_MechAdd_ModSeverity'!S80</f>
        <v/>
      </c>
      <c r="AK80">
        <f>'2_MechAdd_ModSeverity'!T80</f>
        <v/>
      </c>
      <c r="AL80">
        <f>'2_MechAdd_ModSeverity'!U80</f>
        <v/>
      </c>
      <c r="AM80">
        <f>'2_MechAdd_HighSeverity'!S80</f>
        <v/>
      </c>
      <c r="AN80">
        <f>'2_MechAdd_HighSeverity'!T80</f>
        <v/>
      </c>
      <c r="AO80">
        <f>'2_MechAdd_HighSeverity'!U80</f>
        <v/>
      </c>
      <c r="AP80">
        <f>'2_MechAdd_LowSeverity'!V80</f>
        <v/>
      </c>
      <c r="AQ80">
        <f>'2_MechAdd_LowSeverity'!W80</f>
        <v/>
      </c>
      <c r="AR80">
        <f>'2_MechAdd_LowSeverity'!X80</f>
        <v/>
      </c>
      <c r="AS80">
        <f>'2_MechAdd_LowSeverity'!Y80</f>
        <v/>
      </c>
      <c r="AT80">
        <f>'2_MechAdd_ModSeverity'!W80</f>
        <v/>
      </c>
      <c r="AU80">
        <f>'2_MechAdd_ModSeverity'!X80</f>
        <v/>
      </c>
      <c r="AV80">
        <f>'2_MechAdd_ModSeverity'!Y80</f>
        <v/>
      </c>
      <c r="AW80">
        <f>'2_MechAdd_HighSeverity'!W80</f>
        <v/>
      </c>
      <c r="AX80">
        <f>'2_MechAdd_HighSeverity'!X80</f>
        <v/>
      </c>
      <c r="AY80">
        <f>'2_MechAdd_HighSeverity'!Y80</f>
        <v/>
      </c>
      <c r="AZ80">
        <f>'2_MechAdd_LowSeverity'!Z80</f>
        <v/>
      </c>
      <c r="BA80">
        <f>'2_MechAdd_LowSeverity'!AA80</f>
        <v/>
      </c>
      <c r="BB80">
        <f>'2_MechAdd_LowSeverity'!AB80</f>
        <v/>
      </c>
      <c r="BC80">
        <f>'2_MechAdd_LowSeverity'!AC80</f>
        <v/>
      </c>
      <c r="BD80">
        <f>'2_MechAdd_ModSeverity'!AA80</f>
        <v/>
      </c>
      <c r="BE80">
        <f>'2_MechAdd_ModSeverity'!AB80</f>
        <v/>
      </c>
      <c r="BF80">
        <f>'2_MechAdd_ModSeverity'!AC80</f>
        <v/>
      </c>
      <c r="BG80">
        <f>'2_MechAdd_HighSeverity'!AA80</f>
        <v/>
      </c>
      <c r="BH80">
        <f>'2_MechAdd_HighSeverity'!AB80</f>
        <v/>
      </c>
      <c r="BI80">
        <f>'2_MechAdd_HighSeverity'!AC80</f>
        <v/>
      </c>
    </row>
    <row r="81">
      <c r="A81" s="34">
        <f>'2_MechAdd_Script'!A81</f>
        <v/>
      </c>
      <c r="B81">
        <f>'2_MechAdd_LowSeverity'!F81</f>
        <v/>
      </c>
      <c r="C81">
        <f>'2_MechAdd_LowSeverity'!G81</f>
        <v/>
      </c>
      <c r="D81">
        <f>'2_MechAdd_LowSeverity'!H81</f>
        <v/>
      </c>
      <c r="E81">
        <f>'2_MechAdd_LowSeverity'!I81</f>
        <v/>
      </c>
      <c r="F81">
        <f>'2_MechAdd_ModSeverity'!G81</f>
        <v/>
      </c>
      <c r="G81">
        <f>'2_MechAdd_ModSeverity'!H81</f>
        <v/>
      </c>
      <c r="H81">
        <f>'2_MechAdd_ModSeverity'!I81</f>
        <v/>
      </c>
      <c r="I81">
        <f>'2_MechAdd_HighSeverity'!G81</f>
        <v/>
      </c>
      <c r="J81">
        <f>'2_MechAdd_HighSeverity'!H81</f>
        <v/>
      </c>
      <c r="K81">
        <f>'2_MechAdd_HighSeverity'!I81</f>
        <v/>
      </c>
      <c r="L81">
        <f>'2_MechAdd_LowSeverity'!J81</f>
        <v/>
      </c>
      <c r="M81">
        <f>'2_MechAdd_LowSeverity'!K81</f>
        <v/>
      </c>
      <c r="N81">
        <f>'2_MechAdd_LowSeverity'!L81</f>
        <v/>
      </c>
      <c r="O81">
        <f>'2_MechAdd_LowSeverity'!M81</f>
        <v/>
      </c>
      <c r="P81">
        <f>'2_MechAdd_ModSeverity'!K81</f>
        <v/>
      </c>
      <c r="Q81">
        <f>'2_MechAdd_ModSeverity'!L81</f>
        <v/>
      </c>
      <c r="R81">
        <f>'2_MechAdd_ModSeverity'!M81</f>
        <v/>
      </c>
      <c r="S81">
        <f>'2_MechAdd_HighSeverity'!K81</f>
        <v/>
      </c>
      <c r="T81">
        <f>'2_MechAdd_HighSeverity'!L81</f>
        <v/>
      </c>
      <c r="U81">
        <f>'2_MechAdd_HighSeverity'!M81</f>
        <v/>
      </c>
      <c r="V81">
        <f>'2_MechAdd_LowSeverity'!N81</f>
        <v/>
      </c>
      <c r="W81">
        <f>'2_MechAdd_LowSeverity'!O81</f>
        <v/>
      </c>
      <c r="X81">
        <f>'2_MechAdd_LowSeverity'!P81</f>
        <v/>
      </c>
      <c r="Y81">
        <f>'2_MechAdd_LowSeverity'!Q81</f>
        <v/>
      </c>
      <c r="Z81">
        <f>'2_MechAdd_ModSeverity'!O81</f>
        <v/>
      </c>
      <c r="AA81">
        <f>'2_MechAdd_ModSeverity'!P81</f>
        <v/>
      </c>
      <c r="AB81">
        <f>'2_MechAdd_ModSeverity'!Q81</f>
        <v/>
      </c>
      <c r="AC81">
        <f>'2_MechAdd_HighSeverity'!O81</f>
        <v/>
      </c>
      <c r="AD81">
        <f>'2_MechAdd_HighSeverity'!P81</f>
        <v/>
      </c>
      <c r="AE81">
        <f>'2_MechAdd_HighSeverity'!Q81</f>
        <v/>
      </c>
      <c r="AF81">
        <f>'2_MechAdd_LowSeverity'!R81</f>
        <v/>
      </c>
      <c r="AG81">
        <f>'2_MechAdd_LowSeverity'!S81</f>
        <v/>
      </c>
      <c r="AH81">
        <f>'2_MechAdd_LowSeverity'!T81</f>
        <v/>
      </c>
      <c r="AI81">
        <f>'2_MechAdd_LowSeverity'!U81</f>
        <v/>
      </c>
      <c r="AJ81">
        <f>'2_MechAdd_ModSeverity'!S81</f>
        <v/>
      </c>
      <c r="AK81">
        <f>'2_MechAdd_ModSeverity'!T81</f>
        <v/>
      </c>
      <c r="AL81">
        <f>'2_MechAdd_ModSeverity'!U81</f>
        <v/>
      </c>
      <c r="AM81">
        <f>'2_MechAdd_HighSeverity'!S81</f>
        <v/>
      </c>
      <c r="AN81">
        <f>'2_MechAdd_HighSeverity'!T81</f>
        <v/>
      </c>
      <c r="AO81">
        <f>'2_MechAdd_HighSeverity'!U81</f>
        <v/>
      </c>
      <c r="AP81">
        <f>'2_MechAdd_LowSeverity'!V81</f>
        <v/>
      </c>
      <c r="AQ81">
        <f>'2_MechAdd_LowSeverity'!W81</f>
        <v/>
      </c>
      <c r="AR81">
        <f>'2_MechAdd_LowSeverity'!X81</f>
        <v/>
      </c>
      <c r="AS81">
        <f>'2_MechAdd_LowSeverity'!Y81</f>
        <v/>
      </c>
      <c r="AT81">
        <f>'2_MechAdd_ModSeverity'!W81</f>
        <v/>
      </c>
      <c r="AU81">
        <f>'2_MechAdd_ModSeverity'!X81</f>
        <v/>
      </c>
      <c r="AV81">
        <f>'2_MechAdd_ModSeverity'!Y81</f>
        <v/>
      </c>
      <c r="AW81">
        <f>'2_MechAdd_HighSeverity'!W81</f>
        <v/>
      </c>
      <c r="AX81">
        <f>'2_MechAdd_HighSeverity'!X81</f>
        <v/>
      </c>
      <c r="AY81">
        <f>'2_MechAdd_HighSeverity'!Y81</f>
        <v/>
      </c>
      <c r="AZ81">
        <f>'2_MechAdd_LowSeverity'!Z81</f>
        <v/>
      </c>
      <c r="BA81">
        <f>'2_MechAdd_LowSeverity'!AA81</f>
        <v/>
      </c>
      <c r="BB81">
        <f>'2_MechAdd_LowSeverity'!AB81</f>
        <v/>
      </c>
      <c r="BC81">
        <f>'2_MechAdd_LowSeverity'!AC81</f>
        <v/>
      </c>
      <c r="BD81">
        <f>'2_MechAdd_ModSeverity'!AA81</f>
        <v/>
      </c>
      <c r="BE81">
        <f>'2_MechAdd_ModSeverity'!AB81</f>
        <v/>
      </c>
      <c r="BF81">
        <f>'2_MechAdd_ModSeverity'!AC81</f>
        <v/>
      </c>
      <c r="BG81">
        <f>'2_MechAdd_HighSeverity'!AA81</f>
        <v/>
      </c>
      <c r="BH81">
        <f>'2_MechAdd_HighSeverity'!AB81</f>
        <v/>
      </c>
      <c r="BI81">
        <f>'2_MechAdd_HighSeverity'!AC81</f>
        <v/>
      </c>
    </row>
    <row r="82">
      <c r="A82" s="34">
        <f>'2_MechAdd_Script'!A82</f>
        <v/>
      </c>
      <c r="B82">
        <f>'2_MechAdd_LowSeverity'!F82</f>
        <v/>
      </c>
      <c r="C82">
        <f>'2_MechAdd_LowSeverity'!G82</f>
        <v/>
      </c>
      <c r="D82">
        <f>'2_MechAdd_LowSeverity'!H82</f>
        <v/>
      </c>
      <c r="E82">
        <f>'2_MechAdd_LowSeverity'!I82</f>
        <v/>
      </c>
      <c r="F82">
        <f>'2_MechAdd_ModSeverity'!G82</f>
        <v/>
      </c>
      <c r="G82">
        <f>'2_MechAdd_ModSeverity'!H82</f>
        <v/>
      </c>
      <c r="H82">
        <f>'2_MechAdd_ModSeverity'!I82</f>
        <v/>
      </c>
      <c r="I82">
        <f>'2_MechAdd_HighSeverity'!G82</f>
        <v/>
      </c>
      <c r="J82">
        <f>'2_MechAdd_HighSeverity'!H82</f>
        <v/>
      </c>
      <c r="K82">
        <f>'2_MechAdd_HighSeverity'!I82</f>
        <v/>
      </c>
      <c r="L82">
        <f>'2_MechAdd_LowSeverity'!J82</f>
        <v/>
      </c>
      <c r="M82">
        <f>'2_MechAdd_LowSeverity'!K82</f>
        <v/>
      </c>
      <c r="N82">
        <f>'2_MechAdd_LowSeverity'!L82</f>
        <v/>
      </c>
      <c r="O82">
        <f>'2_MechAdd_LowSeverity'!M82</f>
        <v/>
      </c>
      <c r="P82">
        <f>'2_MechAdd_ModSeverity'!K82</f>
        <v/>
      </c>
      <c r="Q82">
        <f>'2_MechAdd_ModSeverity'!L82</f>
        <v/>
      </c>
      <c r="R82">
        <f>'2_MechAdd_ModSeverity'!M82</f>
        <v/>
      </c>
      <c r="S82">
        <f>'2_MechAdd_HighSeverity'!K82</f>
        <v/>
      </c>
      <c r="T82">
        <f>'2_MechAdd_HighSeverity'!L82</f>
        <v/>
      </c>
      <c r="U82">
        <f>'2_MechAdd_HighSeverity'!M82</f>
        <v/>
      </c>
      <c r="V82">
        <f>'2_MechAdd_LowSeverity'!N82</f>
        <v/>
      </c>
      <c r="W82">
        <f>'2_MechAdd_LowSeverity'!O82</f>
        <v/>
      </c>
      <c r="X82">
        <f>'2_MechAdd_LowSeverity'!P82</f>
        <v/>
      </c>
      <c r="Y82">
        <f>'2_MechAdd_LowSeverity'!Q82</f>
        <v/>
      </c>
      <c r="Z82">
        <f>'2_MechAdd_ModSeverity'!O82</f>
        <v/>
      </c>
      <c r="AA82">
        <f>'2_MechAdd_ModSeverity'!P82</f>
        <v/>
      </c>
      <c r="AB82">
        <f>'2_MechAdd_ModSeverity'!Q82</f>
        <v/>
      </c>
      <c r="AC82">
        <f>'2_MechAdd_HighSeverity'!O82</f>
        <v/>
      </c>
      <c r="AD82">
        <f>'2_MechAdd_HighSeverity'!P82</f>
        <v/>
      </c>
      <c r="AE82">
        <f>'2_MechAdd_HighSeverity'!Q82</f>
        <v/>
      </c>
      <c r="AF82">
        <f>'2_MechAdd_LowSeverity'!R82</f>
        <v/>
      </c>
      <c r="AG82">
        <f>'2_MechAdd_LowSeverity'!S82</f>
        <v/>
      </c>
      <c r="AH82">
        <f>'2_MechAdd_LowSeverity'!T82</f>
        <v/>
      </c>
      <c r="AI82">
        <f>'2_MechAdd_LowSeverity'!U82</f>
        <v/>
      </c>
      <c r="AJ82">
        <f>'2_MechAdd_ModSeverity'!S82</f>
        <v/>
      </c>
      <c r="AK82">
        <f>'2_MechAdd_ModSeverity'!T82</f>
        <v/>
      </c>
      <c r="AL82">
        <f>'2_MechAdd_ModSeverity'!U82</f>
        <v/>
      </c>
      <c r="AM82">
        <f>'2_MechAdd_HighSeverity'!S82</f>
        <v/>
      </c>
      <c r="AN82">
        <f>'2_MechAdd_HighSeverity'!T82</f>
        <v/>
      </c>
      <c r="AO82">
        <f>'2_MechAdd_HighSeverity'!U82</f>
        <v/>
      </c>
      <c r="AP82">
        <f>'2_MechAdd_LowSeverity'!V82</f>
        <v/>
      </c>
      <c r="AQ82">
        <f>'2_MechAdd_LowSeverity'!W82</f>
        <v/>
      </c>
      <c r="AR82">
        <f>'2_MechAdd_LowSeverity'!X82</f>
        <v/>
      </c>
      <c r="AS82">
        <f>'2_MechAdd_LowSeverity'!Y82</f>
        <v/>
      </c>
      <c r="AT82">
        <f>'2_MechAdd_ModSeverity'!W82</f>
        <v/>
      </c>
      <c r="AU82">
        <f>'2_MechAdd_ModSeverity'!X82</f>
        <v/>
      </c>
      <c r="AV82">
        <f>'2_MechAdd_ModSeverity'!Y82</f>
        <v/>
      </c>
      <c r="AW82">
        <f>'2_MechAdd_HighSeverity'!W82</f>
        <v/>
      </c>
      <c r="AX82">
        <f>'2_MechAdd_HighSeverity'!X82</f>
        <v/>
      </c>
      <c r="AY82">
        <f>'2_MechAdd_HighSeverity'!Y82</f>
        <v/>
      </c>
      <c r="AZ82">
        <f>'2_MechAdd_LowSeverity'!Z82</f>
        <v/>
      </c>
      <c r="BA82">
        <f>'2_MechAdd_LowSeverity'!AA82</f>
        <v/>
      </c>
      <c r="BB82">
        <f>'2_MechAdd_LowSeverity'!AB82</f>
        <v/>
      </c>
      <c r="BC82">
        <f>'2_MechAdd_LowSeverity'!AC82</f>
        <v/>
      </c>
      <c r="BD82">
        <f>'2_MechAdd_ModSeverity'!AA82</f>
        <v/>
      </c>
      <c r="BE82">
        <f>'2_MechAdd_ModSeverity'!AB82</f>
        <v/>
      </c>
      <c r="BF82">
        <f>'2_MechAdd_ModSeverity'!AC82</f>
        <v/>
      </c>
      <c r="BG82">
        <f>'2_MechAdd_HighSeverity'!AA82</f>
        <v/>
      </c>
      <c r="BH82">
        <f>'2_MechAdd_HighSeverity'!AB82</f>
        <v/>
      </c>
      <c r="BI82">
        <f>'2_MechAdd_HighSeverity'!AC82</f>
        <v/>
      </c>
    </row>
    <row r="83">
      <c r="A83" s="34">
        <f>'2_MechAdd_Script'!A83</f>
        <v/>
      </c>
      <c r="B83">
        <f>'2_MechAdd_LowSeverity'!F83</f>
        <v/>
      </c>
      <c r="C83">
        <f>'2_MechAdd_LowSeverity'!G83</f>
        <v/>
      </c>
      <c r="D83">
        <f>'2_MechAdd_LowSeverity'!H83</f>
        <v/>
      </c>
      <c r="E83">
        <f>'2_MechAdd_LowSeverity'!I83</f>
        <v/>
      </c>
      <c r="F83">
        <f>'2_MechAdd_ModSeverity'!G83</f>
        <v/>
      </c>
      <c r="G83">
        <f>'2_MechAdd_ModSeverity'!H83</f>
        <v/>
      </c>
      <c r="H83">
        <f>'2_MechAdd_ModSeverity'!I83</f>
        <v/>
      </c>
      <c r="I83">
        <f>'2_MechAdd_HighSeverity'!G83</f>
        <v/>
      </c>
      <c r="J83">
        <f>'2_MechAdd_HighSeverity'!H83</f>
        <v/>
      </c>
      <c r="K83">
        <f>'2_MechAdd_HighSeverity'!I83</f>
        <v/>
      </c>
      <c r="L83">
        <f>'2_MechAdd_LowSeverity'!J83</f>
        <v/>
      </c>
      <c r="M83">
        <f>'2_MechAdd_LowSeverity'!K83</f>
        <v/>
      </c>
      <c r="N83">
        <f>'2_MechAdd_LowSeverity'!L83</f>
        <v/>
      </c>
      <c r="O83">
        <f>'2_MechAdd_LowSeverity'!M83</f>
        <v/>
      </c>
      <c r="P83">
        <f>'2_MechAdd_ModSeverity'!K83</f>
        <v/>
      </c>
      <c r="Q83">
        <f>'2_MechAdd_ModSeverity'!L83</f>
        <v/>
      </c>
      <c r="R83">
        <f>'2_MechAdd_ModSeverity'!M83</f>
        <v/>
      </c>
      <c r="S83">
        <f>'2_MechAdd_HighSeverity'!K83</f>
        <v/>
      </c>
      <c r="T83">
        <f>'2_MechAdd_HighSeverity'!L83</f>
        <v/>
      </c>
      <c r="U83">
        <f>'2_MechAdd_HighSeverity'!M83</f>
        <v/>
      </c>
      <c r="V83">
        <f>'2_MechAdd_LowSeverity'!N83</f>
        <v/>
      </c>
      <c r="W83">
        <f>'2_MechAdd_LowSeverity'!O83</f>
        <v/>
      </c>
      <c r="X83">
        <f>'2_MechAdd_LowSeverity'!P83</f>
        <v/>
      </c>
      <c r="Y83">
        <f>'2_MechAdd_LowSeverity'!Q83</f>
        <v/>
      </c>
      <c r="Z83">
        <f>'2_MechAdd_ModSeverity'!O83</f>
        <v/>
      </c>
      <c r="AA83">
        <f>'2_MechAdd_ModSeverity'!P83</f>
        <v/>
      </c>
      <c r="AB83">
        <f>'2_MechAdd_ModSeverity'!Q83</f>
        <v/>
      </c>
      <c r="AC83">
        <f>'2_MechAdd_HighSeverity'!O83</f>
        <v/>
      </c>
      <c r="AD83">
        <f>'2_MechAdd_HighSeverity'!P83</f>
        <v/>
      </c>
      <c r="AE83">
        <f>'2_MechAdd_HighSeverity'!Q83</f>
        <v/>
      </c>
      <c r="AF83">
        <f>'2_MechAdd_LowSeverity'!R83</f>
        <v/>
      </c>
      <c r="AG83">
        <f>'2_MechAdd_LowSeverity'!S83</f>
        <v/>
      </c>
      <c r="AH83">
        <f>'2_MechAdd_LowSeverity'!T83</f>
        <v/>
      </c>
      <c r="AI83">
        <f>'2_MechAdd_LowSeverity'!U83</f>
        <v/>
      </c>
      <c r="AJ83">
        <f>'2_MechAdd_ModSeverity'!S83</f>
        <v/>
      </c>
      <c r="AK83">
        <f>'2_MechAdd_ModSeverity'!T83</f>
        <v/>
      </c>
      <c r="AL83">
        <f>'2_MechAdd_ModSeverity'!U83</f>
        <v/>
      </c>
      <c r="AM83">
        <f>'2_MechAdd_HighSeverity'!S83</f>
        <v/>
      </c>
      <c r="AN83">
        <f>'2_MechAdd_HighSeverity'!T83</f>
        <v/>
      </c>
      <c r="AO83">
        <f>'2_MechAdd_HighSeverity'!U83</f>
        <v/>
      </c>
      <c r="AP83">
        <f>'2_MechAdd_LowSeverity'!V83</f>
        <v/>
      </c>
      <c r="AQ83">
        <f>'2_MechAdd_LowSeverity'!W83</f>
        <v/>
      </c>
      <c r="AR83">
        <f>'2_MechAdd_LowSeverity'!X83</f>
        <v/>
      </c>
      <c r="AS83">
        <f>'2_MechAdd_LowSeverity'!Y83</f>
        <v/>
      </c>
      <c r="AT83">
        <f>'2_MechAdd_ModSeverity'!W83</f>
        <v/>
      </c>
      <c r="AU83">
        <f>'2_MechAdd_ModSeverity'!X83</f>
        <v/>
      </c>
      <c r="AV83">
        <f>'2_MechAdd_ModSeverity'!Y83</f>
        <v/>
      </c>
      <c r="AW83">
        <f>'2_MechAdd_HighSeverity'!W83</f>
        <v/>
      </c>
      <c r="AX83">
        <f>'2_MechAdd_HighSeverity'!X83</f>
        <v/>
      </c>
      <c r="AY83">
        <f>'2_MechAdd_HighSeverity'!Y83</f>
        <v/>
      </c>
      <c r="AZ83">
        <f>'2_MechAdd_LowSeverity'!Z83</f>
        <v/>
      </c>
      <c r="BA83">
        <f>'2_MechAdd_LowSeverity'!AA83</f>
        <v/>
      </c>
      <c r="BB83">
        <f>'2_MechAdd_LowSeverity'!AB83</f>
        <v/>
      </c>
      <c r="BC83">
        <f>'2_MechAdd_LowSeverity'!AC83</f>
        <v/>
      </c>
      <c r="BD83">
        <f>'2_MechAdd_ModSeverity'!AA83</f>
        <v/>
      </c>
      <c r="BE83">
        <f>'2_MechAdd_ModSeverity'!AB83</f>
        <v/>
      </c>
      <c r="BF83">
        <f>'2_MechAdd_ModSeverity'!AC83</f>
        <v/>
      </c>
      <c r="BG83">
        <f>'2_MechAdd_HighSeverity'!AA83</f>
        <v/>
      </c>
      <c r="BH83">
        <f>'2_MechAdd_HighSeverity'!AB83</f>
        <v/>
      </c>
      <c r="BI83">
        <f>'2_MechAdd_HighSeverity'!AC83</f>
        <v/>
      </c>
    </row>
    <row r="84">
      <c r="A84" s="34">
        <f>'2_MechAdd_Script'!A84</f>
        <v/>
      </c>
      <c r="B84">
        <f>'2_MechAdd_LowSeverity'!F84</f>
        <v/>
      </c>
      <c r="C84">
        <f>'2_MechAdd_LowSeverity'!G84</f>
        <v/>
      </c>
      <c r="D84">
        <f>'2_MechAdd_LowSeverity'!H84</f>
        <v/>
      </c>
      <c r="E84">
        <f>'2_MechAdd_LowSeverity'!I84</f>
        <v/>
      </c>
      <c r="F84">
        <f>'2_MechAdd_ModSeverity'!G84</f>
        <v/>
      </c>
      <c r="G84">
        <f>'2_MechAdd_ModSeverity'!H84</f>
        <v/>
      </c>
      <c r="H84">
        <f>'2_MechAdd_ModSeverity'!I84</f>
        <v/>
      </c>
      <c r="I84">
        <f>'2_MechAdd_HighSeverity'!G84</f>
        <v/>
      </c>
      <c r="J84">
        <f>'2_MechAdd_HighSeverity'!H84</f>
        <v/>
      </c>
      <c r="K84">
        <f>'2_MechAdd_HighSeverity'!I84</f>
        <v/>
      </c>
      <c r="L84">
        <f>'2_MechAdd_LowSeverity'!J84</f>
        <v/>
      </c>
      <c r="M84">
        <f>'2_MechAdd_LowSeverity'!K84</f>
        <v/>
      </c>
      <c r="N84">
        <f>'2_MechAdd_LowSeverity'!L84</f>
        <v/>
      </c>
      <c r="O84">
        <f>'2_MechAdd_LowSeverity'!M84</f>
        <v/>
      </c>
      <c r="P84">
        <f>'2_MechAdd_ModSeverity'!K84</f>
        <v/>
      </c>
      <c r="Q84">
        <f>'2_MechAdd_ModSeverity'!L84</f>
        <v/>
      </c>
      <c r="R84">
        <f>'2_MechAdd_ModSeverity'!M84</f>
        <v/>
      </c>
      <c r="S84">
        <f>'2_MechAdd_HighSeverity'!K84</f>
        <v/>
      </c>
      <c r="T84">
        <f>'2_MechAdd_HighSeverity'!L84</f>
        <v/>
      </c>
      <c r="U84">
        <f>'2_MechAdd_HighSeverity'!M84</f>
        <v/>
      </c>
      <c r="V84">
        <f>'2_MechAdd_LowSeverity'!N84</f>
        <v/>
      </c>
      <c r="W84">
        <f>'2_MechAdd_LowSeverity'!O84</f>
        <v/>
      </c>
      <c r="X84">
        <f>'2_MechAdd_LowSeverity'!P84</f>
        <v/>
      </c>
      <c r="Y84">
        <f>'2_MechAdd_LowSeverity'!Q84</f>
        <v/>
      </c>
      <c r="Z84">
        <f>'2_MechAdd_ModSeverity'!O84</f>
        <v/>
      </c>
      <c r="AA84">
        <f>'2_MechAdd_ModSeverity'!P84</f>
        <v/>
      </c>
      <c r="AB84">
        <f>'2_MechAdd_ModSeverity'!Q84</f>
        <v/>
      </c>
      <c r="AC84">
        <f>'2_MechAdd_HighSeverity'!O84</f>
        <v/>
      </c>
      <c r="AD84">
        <f>'2_MechAdd_HighSeverity'!P84</f>
        <v/>
      </c>
      <c r="AE84">
        <f>'2_MechAdd_HighSeverity'!Q84</f>
        <v/>
      </c>
      <c r="AF84">
        <f>'2_MechAdd_LowSeverity'!R84</f>
        <v/>
      </c>
      <c r="AG84">
        <f>'2_MechAdd_LowSeverity'!S84</f>
        <v/>
      </c>
      <c r="AH84">
        <f>'2_MechAdd_LowSeverity'!T84</f>
        <v/>
      </c>
      <c r="AI84">
        <f>'2_MechAdd_LowSeverity'!U84</f>
        <v/>
      </c>
      <c r="AJ84">
        <f>'2_MechAdd_ModSeverity'!S84</f>
        <v/>
      </c>
      <c r="AK84">
        <f>'2_MechAdd_ModSeverity'!T84</f>
        <v/>
      </c>
      <c r="AL84">
        <f>'2_MechAdd_ModSeverity'!U84</f>
        <v/>
      </c>
      <c r="AM84">
        <f>'2_MechAdd_HighSeverity'!S84</f>
        <v/>
      </c>
      <c r="AN84">
        <f>'2_MechAdd_HighSeverity'!T84</f>
        <v/>
      </c>
      <c r="AO84">
        <f>'2_MechAdd_HighSeverity'!U84</f>
        <v/>
      </c>
      <c r="AP84">
        <f>'2_MechAdd_LowSeverity'!V84</f>
        <v/>
      </c>
      <c r="AQ84">
        <f>'2_MechAdd_LowSeverity'!W84</f>
        <v/>
      </c>
      <c r="AR84">
        <f>'2_MechAdd_LowSeverity'!X84</f>
        <v/>
      </c>
      <c r="AS84">
        <f>'2_MechAdd_LowSeverity'!Y84</f>
        <v/>
      </c>
      <c r="AT84">
        <f>'2_MechAdd_ModSeverity'!W84</f>
        <v/>
      </c>
      <c r="AU84">
        <f>'2_MechAdd_ModSeverity'!X84</f>
        <v/>
      </c>
      <c r="AV84">
        <f>'2_MechAdd_ModSeverity'!Y84</f>
        <v/>
      </c>
      <c r="AW84">
        <f>'2_MechAdd_HighSeverity'!W84</f>
        <v/>
      </c>
      <c r="AX84">
        <f>'2_MechAdd_HighSeverity'!X84</f>
        <v/>
      </c>
      <c r="AY84">
        <f>'2_MechAdd_HighSeverity'!Y84</f>
        <v/>
      </c>
      <c r="AZ84">
        <f>'2_MechAdd_LowSeverity'!Z84</f>
        <v/>
      </c>
      <c r="BA84">
        <f>'2_MechAdd_LowSeverity'!AA84</f>
        <v/>
      </c>
      <c r="BB84">
        <f>'2_MechAdd_LowSeverity'!AB84</f>
        <v/>
      </c>
      <c r="BC84">
        <f>'2_MechAdd_LowSeverity'!AC84</f>
        <v/>
      </c>
      <c r="BD84">
        <f>'2_MechAdd_ModSeverity'!AA84</f>
        <v/>
      </c>
      <c r="BE84">
        <f>'2_MechAdd_ModSeverity'!AB84</f>
        <v/>
      </c>
      <c r="BF84">
        <f>'2_MechAdd_ModSeverity'!AC84</f>
        <v/>
      </c>
      <c r="BG84">
        <f>'2_MechAdd_HighSeverity'!AA84</f>
        <v/>
      </c>
      <c r="BH84">
        <f>'2_MechAdd_HighSeverity'!AB84</f>
        <v/>
      </c>
      <c r="BI84">
        <f>'2_MechAdd_HighSeverity'!AC84</f>
        <v/>
      </c>
    </row>
    <row r="85">
      <c r="A85" s="34">
        <f>'2_MechAdd_Script'!A85</f>
        <v/>
      </c>
      <c r="B85">
        <f>'2_MechAdd_LowSeverity'!F85</f>
        <v/>
      </c>
      <c r="C85">
        <f>'2_MechAdd_LowSeverity'!G85</f>
        <v/>
      </c>
      <c r="D85">
        <f>'2_MechAdd_LowSeverity'!H85</f>
        <v/>
      </c>
      <c r="E85">
        <f>'2_MechAdd_LowSeverity'!I85</f>
        <v/>
      </c>
      <c r="F85">
        <f>'2_MechAdd_ModSeverity'!G85</f>
        <v/>
      </c>
      <c r="G85">
        <f>'2_MechAdd_ModSeverity'!H85</f>
        <v/>
      </c>
      <c r="H85">
        <f>'2_MechAdd_ModSeverity'!I85</f>
        <v/>
      </c>
      <c r="I85">
        <f>'2_MechAdd_HighSeverity'!G85</f>
        <v/>
      </c>
      <c r="J85">
        <f>'2_MechAdd_HighSeverity'!H85</f>
        <v/>
      </c>
      <c r="K85">
        <f>'2_MechAdd_HighSeverity'!I85</f>
        <v/>
      </c>
      <c r="L85">
        <f>'2_MechAdd_LowSeverity'!J85</f>
        <v/>
      </c>
      <c r="M85">
        <f>'2_MechAdd_LowSeverity'!K85</f>
        <v/>
      </c>
      <c r="N85">
        <f>'2_MechAdd_LowSeverity'!L85</f>
        <v/>
      </c>
      <c r="O85">
        <f>'2_MechAdd_LowSeverity'!M85</f>
        <v/>
      </c>
      <c r="P85">
        <f>'2_MechAdd_ModSeverity'!K85</f>
        <v/>
      </c>
      <c r="Q85">
        <f>'2_MechAdd_ModSeverity'!L85</f>
        <v/>
      </c>
      <c r="R85">
        <f>'2_MechAdd_ModSeverity'!M85</f>
        <v/>
      </c>
      <c r="S85">
        <f>'2_MechAdd_HighSeverity'!K85</f>
        <v/>
      </c>
      <c r="T85">
        <f>'2_MechAdd_HighSeverity'!L85</f>
        <v/>
      </c>
      <c r="U85">
        <f>'2_MechAdd_HighSeverity'!M85</f>
        <v/>
      </c>
      <c r="V85">
        <f>'2_MechAdd_LowSeverity'!N85</f>
        <v/>
      </c>
      <c r="W85">
        <f>'2_MechAdd_LowSeverity'!O85</f>
        <v/>
      </c>
      <c r="X85">
        <f>'2_MechAdd_LowSeverity'!P85</f>
        <v/>
      </c>
      <c r="Y85">
        <f>'2_MechAdd_LowSeverity'!Q85</f>
        <v/>
      </c>
      <c r="Z85">
        <f>'2_MechAdd_ModSeverity'!O85</f>
        <v/>
      </c>
      <c r="AA85">
        <f>'2_MechAdd_ModSeverity'!P85</f>
        <v/>
      </c>
      <c r="AB85">
        <f>'2_MechAdd_ModSeverity'!Q85</f>
        <v/>
      </c>
      <c r="AC85">
        <f>'2_MechAdd_HighSeverity'!O85</f>
        <v/>
      </c>
      <c r="AD85">
        <f>'2_MechAdd_HighSeverity'!P85</f>
        <v/>
      </c>
      <c r="AE85">
        <f>'2_MechAdd_HighSeverity'!Q85</f>
        <v/>
      </c>
      <c r="AF85">
        <f>'2_MechAdd_LowSeverity'!R85</f>
        <v/>
      </c>
      <c r="AG85">
        <f>'2_MechAdd_LowSeverity'!S85</f>
        <v/>
      </c>
      <c r="AH85">
        <f>'2_MechAdd_LowSeverity'!T85</f>
        <v/>
      </c>
      <c r="AI85">
        <f>'2_MechAdd_LowSeverity'!U85</f>
        <v/>
      </c>
      <c r="AJ85">
        <f>'2_MechAdd_ModSeverity'!S85</f>
        <v/>
      </c>
      <c r="AK85">
        <f>'2_MechAdd_ModSeverity'!T85</f>
        <v/>
      </c>
      <c r="AL85">
        <f>'2_MechAdd_ModSeverity'!U85</f>
        <v/>
      </c>
      <c r="AM85">
        <f>'2_MechAdd_HighSeverity'!S85</f>
        <v/>
      </c>
      <c r="AN85">
        <f>'2_MechAdd_HighSeverity'!T85</f>
        <v/>
      </c>
      <c r="AO85">
        <f>'2_MechAdd_HighSeverity'!U85</f>
        <v/>
      </c>
      <c r="AP85">
        <f>'2_MechAdd_LowSeverity'!V85</f>
        <v/>
      </c>
      <c r="AQ85">
        <f>'2_MechAdd_LowSeverity'!W85</f>
        <v/>
      </c>
      <c r="AR85">
        <f>'2_MechAdd_LowSeverity'!X85</f>
        <v/>
      </c>
      <c r="AS85">
        <f>'2_MechAdd_LowSeverity'!Y85</f>
        <v/>
      </c>
      <c r="AT85">
        <f>'2_MechAdd_ModSeverity'!W85</f>
        <v/>
      </c>
      <c r="AU85">
        <f>'2_MechAdd_ModSeverity'!X85</f>
        <v/>
      </c>
      <c r="AV85">
        <f>'2_MechAdd_ModSeverity'!Y85</f>
        <v/>
      </c>
      <c r="AW85">
        <f>'2_MechAdd_HighSeverity'!W85</f>
        <v/>
      </c>
      <c r="AX85">
        <f>'2_MechAdd_HighSeverity'!X85</f>
        <v/>
      </c>
      <c r="AY85">
        <f>'2_MechAdd_HighSeverity'!Y85</f>
        <v/>
      </c>
      <c r="AZ85">
        <f>'2_MechAdd_LowSeverity'!Z85</f>
        <v/>
      </c>
      <c r="BA85">
        <f>'2_MechAdd_LowSeverity'!AA85</f>
        <v/>
      </c>
      <c r="BB85">
        <f>'2_MechAdd_LowSeverity'!AB85</f>
        <v/>
      </c>
      <c r="BC85">
        <f>'2_MechAdd_LowSeverity'!AC85</f>
        <v/>
      </c>
      <c r="BD85">
        <f>'2_MechAdd_ModSeverity'!AA85</f>
        <v/>
      </c>
      <c r="BE85">
        <f>'2_MechAdd_ModSeverity'!AB85</f>
        <v/>
      </c>
      <c r="BF85">
        <f>'2_MechAdd_ModSeverity'!AC85</f>
        <v/>
      </c>
      <c r="BG85">
        <f>'2_MechAdd_HighSeverity'!AA85</f>
        <v/>
      </c>
      <c r="BH85">
        <f>'2_MechAdd_HighSeverity'!AB85</f>
        <v/>
      </c>
      <c r="BI85">
        <f>'2_MechAdd_HighSeverity'!AC85</f>
        <v/>
      </c>
    </row>
    <row r="86">
      <c r="A86" s="34">
        <f>'2_MechAdd_Script'!A86</f>
        <v/>
      </c>
      <c r="B86">
        <f>'2_MechAdd_LowSeverity'!F86</f>
        <v/>
      </c>
      <c r="C86">
        <f>'2_MechAdd_LowSeverity'!G86</f>
        <v/>
      </c>
      <c r="D86">
        <f>'2_MechAdd_LowSeverity'!H86</f>
        <v/>
      </c>
      <c r="E86">
        <f>'2_MechAdd_LowSeverity'!I86</f>
        <v/>
      </c>
      <c r="F86">
        <f>'2_MechAdd_ModSeverity'!G86</f>
        <v/>
      </c>
      <c r="G86">
        <f>'2_MechAdd_ModSeverity'!H86</f>
        <v/>
      </c>
      <c r="H86">
        <f>'2_MechAdd_ModSeverity'!I86</f>
        <v/>
      </c>
      <c r="I86">
        <f>'2_MechAdd_HighSeverity'!G86</f>
        <v/>
      </c>
      <c r="J86">
        <f>'2_MechAdd_HighSeverity'!H86</f>
        <v/>
      </c>
      <c r="K86">
        <f>'2_MechAdd_HighSeverity'!I86</f>
        <v/>
      </c>
      <c r="L86">
        <f>'2_MechAdd_LowSeverity'!J86</f>
        <v/>
      </c>
      <c r="M86">
        <f>'2_MechAdd_LowSeverity'!K86</f>
        <v/>
      </c>
      <c r="N86">
        <f>'2_MechAdd_LowSeverity'!L86</f>
        <v/>
      </c>
      <c r="O86">
        <f>'2_MechAdd_LowSeverity'!M86</f>
        <v/>
      </c>
      <c r="P86">
        <f>'2_MechAdd_ModSeverity'!K86</f>
        <v/>
      </c>
      <c r="Q86">
        <f>'2_MechAdd_ModSeverity'!L86</f>
        <v/>
      </c>
      <c r="R86">
        <f>'2_MechAdd_ModSeverity'!M86</f>
        <v/>
      </c>
      <c r="S86">
        <f>'2_MechAdd_HighSeverity'!K86</f>
        <v/>
      </c>
      <c r="T86">
        <f>'2_MechAdd_HighSeverity'!L86</f>
        <v/>
      </c>
      <c r="U86">
        <f>'2_MechAdd_HighSeverity'!M86</f>
        <v/>
      </c>
      <c r="V86">
        <f>'2_MechAdd_LowSeverity'!N86</f>
        <v/>
      </c>
      <c r="W86">
        <f>'2_MechAdd_LowSeverity'!O86</f>
        <v/>
      </c>
      <c r="X86">
        <f>'2_MechAdd_LowSeverity'!P86</f>
        <v/>
      </c>
      <c r="Y86">
        <f>'2_MechAdd_LowSeverity'!Q86</f>
        <v/>
      </c>
      <c r="Z86">
        <f>'2_MechAdd_ModSeverity'!O86</f>
        <v/>
      </c>
      <c r="AA86">
        <f>'2_MechAdd_ModSeverity'!P86</f>
        <v/>
      </c>
      <c r="AB86">
        <f>'2_MechAdd_ModSeverity'!Q86</f>
        <v/>
      </c>
      <c r="AC86">
        <f>'2_MechAdd_HighSeverity'!O86</f>
        <v/>
      </c>
      <c r="AD86">
        <f>'2_MechAdd_HighSeverity'!P86</f>
        <v/>
      </c>
      <c r="AE86">
        <f>'2_MechAdd_HighSeverity'!Q86</f>
        <v/>
      </c>
      <c r="AF86">
        <f>'2_MechAdd_LowSeverity'!R86</f>
        <v/>
      </c>
      <c r="AG86">
        <f>'2_MechAdd_LowSeverity'!S86</f>
        <v/>
      </c>
      <c r="AH86">
        <f>'2_MechAdd_LowSeverity'!T86</f>
        <v/>
      </c>
      <c r="AI86">
        <f>'2_MechAdd_LowSeverity'!U86</f>
        <v/>
      </c>
      <c r="AJ86">
        <f>'2_MechAdd_ModSeverity'!S86</f>
        <v/>
      </c>
      <c r="AK86">
        <f>'2_MechAdd_ModSeverity'!T86</f>
        <v/>
      </c>
      <c r="AL86">
        <f>'2_MechAdd_ModSeverity'!U86</f>
        <v/>
      </c>
      <c r="AM86">
        <f>'2_MechAdd_HighSeverity'!S86</f>
        <v/>
      </c>
      <c r="AN86">
        <f>'2_MechAdd_HighSeverity'!T86</f>
        <v/>
      </c>
      <c r="AO86">
        <f>'2_MechAdd_HighSeverity'!U86</f>
        <v/>
      </c>
      <c r="AP86">
        <f>'2_MechAdd_LowSeverity'!V86</f>
        <v/>
      </c>
      <c r="AQ86">
        <f>'2_MechAdd_LowSeverity'!W86</f>
        <v/>
      </c>
      <c r="AR86">
        <f>'2_MechAdd_LowSeverity'!X86</f>
        <v/>
      </c>
      <c r="AS86">
        <f>'2_MechAdd_LowSeverity'!Y86</f>
        <v/>
      </c>
      <c r="AT86">
        <f>'2_MechAdd_ModSeverity'!W86</f>
        <v/>
      </c>
      <c r="AU86">
        <f>'2_MechAdd_ModSeverity'!X86</f>
        <v/>
      </c>
      <c r="AV86">
        <f>'2_MechAdd_ModSeverity'!Y86</f>
        <v/>
      </c>
      <c r="AW86">
        <f>'2_MechAdd_HighSeverity'!W86</f>
        <v/>
      </c>
      <c r="AX86">
        <f>'2_MechAdd_HighSeverity'!X86</f>
        <v/>
      </c>
      <c r="AY86">
        <f>'2_MechAdd_HighSeverity'!Y86</f>
        <v/>
      </c>
      <c r="AZ86">
        <f>'2_MechAdd_LowSeverity'!Z86</f>
        <v/>
      </c>
      <c r="BA86">
        <f>'2_MechAdd_LowSeverity'!AA86</f>
        <v/>
      </c>
      <c r="BB86">
        <f>'2_MechAdd_LowSeverity'!AB86</f>
        <v/>
      </c>
      <c r="BC86">
        <f>'2_MechAdd_LowSeverity'!AC86</f>
        <v/>
      </c>
      <c r="BD86">
        <f>'2_MechAdd_ModSeverity'!AA86</f>
        <v/>
      </c>
      <c r="BE86">
        <f>'2_MechAdd_ModSeverity'!AB86</f>
        <v/>
      </c>
      <c r="BF86">
        <f>'2_MechAdd_ModSeverity'!AC86</f>
        <v/>
      </c>
      <c r="BG86">
        <f>'2_MechAdd_HighSeverity'!AA86</f>
        <v/>
      </c>
      <c r="BH86">
        <f>'2_MechAdd_HighSeverity'!AB86</f>
        <v/>
      </c>
      <c r="BI86">
        <f>'2_MechAdd_HighSeverity'!AC86</f>
        <v/>
      </c>
    </row>
    <row r="87">
      <c r="A87" s="34">
        <f>'2_MechAdd_Script'!A87</f>
        <v/>
      </c>
      <c r="B87">
        <f>'2_MechAdd_LowSeverity'!F87</f>
        <v/>
      </c>
      <c r="C87">
        <f>'2_MechAdd_LowSeverity'!G87</f>
        <v/>
      </c>
      <c r="D87">
        <f>'2_MechAdd_LowSeverity'!H87</f>
        <v/>
      </c>
      <c r="E87">
        <f>'2_MechAdd_LowSeverity'!I87</f>
        <v/>
      </c>
      <c r="F87">
        <f>'2_MechAdd_ModSeverity'!G87</f>
        <v/>
      </c>
      <c r="G87">
        <f>'2_MechAdd_ModSeverity'!H87</f>
        <v/>
      </c>
      <c r="H87">
        <f>'2_MechAdd_ModSeverity'!I87</f>
        <v/>
      </c>
      <c r="I87">
        <f>'2_MechAdd_HighSeverity'!G87</f>
        <v/>
      </c>
      <c r="J87">
        <f>'2_MechAdd_HighSeverity'!H87</f>
        <v/>
      </c>
      <c r="K87">
        <f>'2_MechAdd_HighSeverity'!I87</f>
        <v/>
      </c>
      <c r="L87">
        <f>'2_MechAdd_LowSeverity'!J87</f>
        <v/>
      </c>
      <c r="M87">
        <f>'2_MechAdd_LowSeverity'!K87</f>
        <v/>
      </c>
      <c r="N87">
        <f>'2_MechAdd_LowSeverity'!L87</f>
        <v/>
      </c>
      <c r="O87">
        <f>'2_MechAdd_LowSeverity'!M87</f>
        <v/>
      </c>
      <c r="P87">
        <f>'2_MechAdd_ModSeverity'!K87</f>
        <v/>
      </c>
      <c r="Q87">
        <f>'2_MechAdd_ModSeverity'!L87</f>
        <v/>
      </c>
      <c r="R87">
        <f>'2_MechAdd_ModSeverity'!M87</f>
        <v/>
      </c>
      <c r="S87">
        <f>'2_MechAdd_HighSeverity'!K87</f>
        <v/>
      </c>
      <c r="T87">
        <f>'2_MechAdd_HighSeverity'!L87</f>
        <v/>
      </c>
      <c r="U87">
        <f>'2_MechAdd_HighSeverity'!M87</f>
        <v/>
      </c>
      <c r="V87">
        <f>'2_MechAdd_LowSeverity'!N87</f>
        <v/>
      </c>
      <c r="W87">
        <f>'2_MechAdd_LowSeverity'!O87</f>
        <v/>
      </c>
      <c r="X87">
        <f>'2_MechAdd_LowSeverity'!P87</f>
        <v/>
      </c>
      <c r="Y87">
        <f>'2_MechAdd_LowSeverity'!Q87</f>
        <v/>
      </c>
      <c r="Z87">
        <f>'2_MechAdd_ModSeverity'!O87</f>
        <v/>
      </c>
      <c r="AA87">
        <f>'2_MechAdd_ModSeverity'!P87</f>
        <v/>
      </c>
      <c r="AB87">
        <f>'2_MechAdd_ModSeverity'!Q87</f>
        <v/>
      </c>
      <c r="AC87">
        <f>'2_MechAdd_HighSeverity'!O87</f>
        <v/>
      </c>
      <c r="AD87">
        <f>'2_MechAdd_HighSeverity'!P87</f>
        <v/>
      </c>
      <c r="AE87">
        <f>'2_MechAdd_HighSeverity'!Q87</f>
        <v/>
      </c>
      <c r="AF87">
        <f>'2_MechAdd_LowSeverity'!R87</f>
        <v/>
      </c>
      <c r="AG87">
        <f>'2_MechAdd_LowSeverity'!S87</f>
        <v/>
      </c>
      <c r="AH87">
        <f>'2_MechAdd_LowSeverity'!T87</f>
        <v/>
      </c>
      <c r="AI87">
        <f>'2_MechAdd_LowSeverity'!U87</f>
        <v/>
      </c>
      <c r="AJ87">
        <f>'2_MechAdd_ModSeverity'!S87</f>
        <v/>
      </c>
      <c r="AK87">
        <f>'2_MechAdd_ModSeverity'!T87</f>
        <v/>
      </c>
      <c r="AL87">
        <f>'2_MechAdd_ModSeverity'!U87</f>
        <v/>
      </c>
      <c r="AM87">
        <f>'2_MechAdd_HighSeverity'!S87</f>
        <v/>
      </c>
      <c r="AN87">
        <f>'2_MechAdd_HighSeverity'!T87</f>
        <v/>
      </c>
      <c r="AO87">
        <f>'2_MechAdd_HighSeverity'!U87</f>
        <v/>
      </c>
      <c r="AP87">
        <f>'2_MechAdd_LowSeverity'!V87</f>
        <v/>
      </c>
      <c r="AQ87">
        <f>'2_MechAdd_LowSeverity'!W87</f>
        <v/>
      </c>
      <c r="AR87">
        <f>'2_MechAdd_LowSeverity'!X87</f>
        <v/>
      </c>
      <c r="AS87">
        <f>'2_MechAdd_LowSeverity'!Y87</f>
        <v/>
      </c>
      <c r="AT87">
        <f>'2_MechAdd_ModSeverity'!W87</f>
        <v/>
      </c>
      <c r="AU87">
        <f>'2_MechAdd_ModSeverity'!X87</f>
        <v/>
      </c>
      <c r="AV87">
        <f>'2_MechAdd_ModSeverity'!Y87</f>
        <v/>
      </c>
      <c r="AW87">
        <f>'2_MechAdd_HighSeverity'!W87</f>
        <v/>
      </c>
      <c r="AX87">
        <f>'2_MechAdd_HighSeverity'!X87</f>
        <v/>
      </c>
      <c r="AY87">
        <f>'2_MechAdd_HighSeverity'!Y87</f>
        <v/>
      </c>
      <c r="AZ87">
        <f>'2_MechAdd_LowSeverity'!Z87</f>
        <v/>
      </c>
      <c r="BA87">
        <f>'2_MechAdd_LowSeverity'!AA87</f>
        <v/>
      </c>
      <c r="BB87">
        <f>'2_MechAdd_LowSeverity'!AB87</f>
        <v/>
      </c>
      <c r="BC87">
        <f>'2_MechAdd_LowSeverity'!AC87</f>
        <v/>
      </c>
      <c r="BD87">
        <f>'2_MechAdd_ModSeverity'!AA87</f>
        <v/>
      </c>
      <c r="BE87">
        <f>'2_MechAdd_ModSeverity'!AB87</f>
        <v/>
      </c>
      <c r="BF87">
        <f>'2_MechAdd_ModSeverity'!AC87</f>
        <v/>
      </c>
      <c r="BG87">
        <f>'2_MechAdd_HighSeverity'!AA87</f>
        <v/>
      </c>
      <c r="BH87">
        <f>'2_MechAdd_HighSeverity'!AB87</f>
        <v/>
      </c>
      <c r="BI87">
        <f>'2_MechAdd_HighSeverity'!AC87</f>
        <v/>
      </c>
    </row>
    <row r="88">
      <c r="A88" s="34">
        <f>'2_MechAdd_Script'!A88</f>
        <v/>
      </c>
      <c r="B88">
        <f>'2_MechAdd_LowSeverity'!F88</f>
        <v/>
      </c>
      <c r="C88">
        <f>'2_MechAdd_LowSeverity'!G88</f>
        <v/>
      </c>
      <c r="D88">
        <f>'2_MechAdd_LowSeverity'!H88</f>
        <v/>
      </c>
      <c r="E88">
        <f>'2_MechAdd_LowSeverity'!I88</f>
        <v/>
      </c>
      <c r="F88">
        <f>'2_MechAdd_ModSeverity'!G88</f>
        <v/>
      </c>
      <c r="G88">
        <f>'2_MechAdd_ModSeverity'!H88</f>
        <v/>
      </c>
      <c r="H88">
        <f>'2_MechAdd_ModSeverity'!I88</f>
        <v/>
      </c>
      <c r="I88">
        <f>'2_MechAdd_HighSeverity'!G88</f>
        <v/>
      </c>
      <c r="J88">
        <f>'2_MechAdd_HighSeverity'!H88</f>
        <v/>
      </c>
      <c r="K88">
        <f>'2_MechAdd_HighSeverity'!I88</f>
        <v/>
      </c>
      <c r="L88">
        <f>'2_MechAdd_LowSeverity'!J88</f>
        <v/>
      </c>
      <c r="M88">
        <f>'2_MechAdd_LowSeverity'!K88</f>
        <v/>
      </c>
      <c r="N88">
        <f>'2_MechAdd_LowSeverity'!L88</f>
        <v/>
      </c>
      <c r="O88">
        <f>'2_MechAdd_LowSeverity'!M88</f>
        <v/>
      </c>
      <c r="P88">
        <f>'2_MechAdd_ModSeverity'!K88</f>
        <v/>
      </c>
      <c r="Q88">
        <f>'2_MechAdd_ModSeverity'!L88</f>
        <v/>
      </c>
      <c r="R88">
        <f>'2_MechAdd_ModSeverity'!M88</f>
        <v/>
      </c>
      <c r="S88">
        <f>'2_MechAdd_HighSeverity'!K88</f>
        <v/>
      </c>
      <c r="T88">
        <f>'2_MechAdd_HighSeverity'!L88</f>
        <v/>
      </c>
      <c r="U88">
        <f>'2_MechAdd_HighSeverity'!M88</f>
        <v/>
      </c>
      <c r="V88">
        <f>'2_MechAdd_LowSeverity'!N88</f>
        <v/>
      </c>
      <c r="W88">
        <f>'2_MechAdd_LowSeverity'!O88</f>
        <v/>
      </c>
      <c r="X88">
        <f>'2_MechAdd_LowSeverity'!P88</f>
        <v/>
      </c>
      <c r="Y88">
        <f>'2_MechAdd_LowSeverity'!Q88</f>
        <v/>
      </c>
      <c r="Z88">
        <f>'2_MechAdd_ModSeverity'!O88</f>
        <v/>
      </c>
      <c r="AA88">
        <f>'2_MechAdd_ModSeverity'!P88</f>
        <v/>
      </c>
      <c r="AB88">
        <f>'2_MechAdd_ModSeverity'!Q88</f>
        <v/>
      </c>
      <c r="AC88">
        <f>'2_MechAdd_HighSeverity'!O88</f>
        <v/>
      </c>
      <c r="AD88">
        <f>'2_MechAdd_HighSeverity'!P88</f>
        <v/>
      </c>
      <c r="AE88">
        <f>'2_MechAdd_HighSeverity'!Q88</f>
        <v/>
      </c>
      <c r="AF88">
        <f>'2_MechAdd_LowSeverity'!R88</f>
        <v/>
      </c>
      <c r="AG88">
        <f>'2_MechAdd_LowSeverity'!S88</f>
        <v/>
      </c>
      <c r="AH88">
        <f>'2_MechAdd_LowSeverity'!T88</f>
        <v/>
      </c>
      <c r="AI88">
        <f>'2_MechAdd_LowSeverity'!U88</f>
        <v/>
      </c>
      <c r="AJ88">
        <f>'2_MechAdd_ModSeverity'!S88</f>
        <v/>
      </c>
      <c r="AK88">
        <f>'2_MechAdd_ModSeverity'!T88</f>
        <v/>
      </c>
      <c r="AL88">
        <f>'2_MechAdd_ModSeverity'!U88</f>
        <v/>
      </c>
      <c r="AM88">
        <f>'2_MechAdd_HighSeverity'!S88</f>
        <v/>
      </c>
      <c r="AN88">
        <f>'2_MechAdd_HighSeverity'!T88</f>
        <v/>
      </c>
      <c r="AO88">
        <f>'2_MechAdd_HighSeverity'!U88</f>
        <v/>
      </c>
      <c r="AP88">
        <f>'2_MechAdd_LowSeverity'!V88</f>
        <v/>
      </c>
      <c r="AQ88">
        <f>'2_MechAdd_LowSeverity'!W88</f>
        <v/>
      </c>
      <c r="AR88">
        <f>'2_MechAdd_LowSeverity'!X88</f>
        <v/>
      </c>
      <c r="AS88">
        <f>'2_MechAdd_LowSeverity'!Y88</f>
        <v/>
      </c>
      <c r="AT88">
        <f>'2_MechAdd_ModSeverity'!W88</f>
        <v/>
      </c>
      <c r="AU88">
        <f>'2_MechAdd_ModSeverity'!X88</f>
        <v/>
      </c>
      <c r="AV88">
        <f>'2_MechAdd_ModSeverity'!Y88</f>
        <v/>
      </c>
      <c r="AW88">
        <f>'2_MechAdd_HighSeverity'!W88</f>
        <v/>
      </c>
      <c r="AX88">
        <f>'2_MechAdd_HighSeverity'!X88</f>
        <v/>
      </c>
      <c r="AY88">
        <f>'2_MechAdd_HighSeverity'!Y88</f>
        <v/>
      </c>
      <c r="AZ88">
        <f>'2_MechAdd_LowSeverity'!Z88</f>
        <v/>
      </c>
      <c r="BA88">
        <f>'2_MechAdd_LowSeverity'!AA88</f>
        <v/>
      </c>
      <c r="BB88">
        <f>'2_MechAdd_LowSeverity'!AB88</f>
        <v/>
      </c>
      <c r="BC88">
        <f>'2_MechAdd_LowSeverity'!AC88</f>
        <v/>
      </c>
      <c r="BD88">
        <f>'2_MechAdd_ModSeverity'!AA88</f>
        <v/>
      </c>
      <c r="BE88">
        <f>'2_MechAdd_ModSeverity'!AB88</f>
        <v/>
      </c>
      <c r="BF88">
        <f>'2_MechAdd_ModSeverity'!AC88</f>
        <v/>
      </c>
      <c r="BG88">
        <f>'2_MechAdd_HighSeverity'!AA88</f>
        <v/>
      </c>
      <c r="BH88">
        <f>'2_MechAdd_HighSeverity'!AB88</f>
        <v/>
      </c>
      <c r="BI88">
        <f>'2_MechAdd_HighSeverity'!AC88</f>
        <v/>
      </c>
    </row>
    <row r="89">
      <c r="A89" s="34">
        <f>'2_MechAdd_Script'!A89</f>
        <v/>
      </c>
      <c r="B89">
        <f>'2_MechAdd_LowSeverity'!F89</f>
        <v/>
      </c>
      <c r="C89">
        <f>'2_MechAdd_LowSeverity'!G89</f>
        <v/>
      </c>
      <c r="D89">
        <f>'2_MechAdd_LowSeverity'!H89</f>
        <v/>
      </c>
      <c r="E89">
        <f>'2_MechAdd_LowSeverity'!I89</f>
        <v/>
      </c>
      <c r="F89">
        <f>'2_MechAdd_ModSeverity'!G89</f>
        <v/>
      </c>
      <c r="G89">
        <f>'2_MechAdd_ModSeverity'!H89</f>
        <v/>
      </c>
      <c r="H89">
        <f>'2_MechAdd_ModSeverity'!I89</f>
        <v/>
      </c>
      <c r="I89">
        <f>'2_MechAdd_HighSeverity'!G89</f>
        <v/>
      </c>
      <c r="J89">
        <f>'2_MechAdd_HighSeverity'!H89</f>
        <v/>
      </c>
      <c r="K89">
        <f>'2_MechAdd_HighSeverity'!I89</f>
        <v/>
      </c>
      <c r="L89">
        <f>'2_MechAdd_LowSeverity'!J89</f>
        <v/>
      </c>
      <c r="M89">
        <f>'2_MechAdd_LowSeverity'!K89</f>
        <v/>
      </c>
      <c r="N89">
        <f>'2_MechAdd_LowSeverity'!L89</f>
        <v/>
      </c>
      <c r="O89">
        <f>'2_MechAdd_LowSeverity'!M89</f>
        <v/>
      </c>
      <c r="P89">
        <f>'2_MechAdd_ModSeverity'!K89</f>
        <v/>
      </c>
      <c r="Q89">
        <f>'2_MechAdd_ModSeverity'!L89</f>
        <v/>
      </c>
      <c r="R89">
        <f>'2_MechAdd_ModSeverity'!M89</f>
        <v/>
      </c>
      <c r="S89">
        <f>'2_MechAdd_HighSeverity'!K89</f>
        <v/>
      </c>
      <c r="T89">
        <f>'2_MechAdd_HighSeverity'!L89</f>
        <v/>
      </c>
      <c r="U89">
        <f>'2_MechAdd_HighSeverity'!M89</f>
        <v/>
      </c>
      <c r="V89">
        <f>'2_MechAdd_LowSeverity'!N89</f>
        <v/>
      </c>
      <c r="W89">
        <f>'2_MechAdd_LowSeverity'!O89</f>
        <v/>
      </c>
      <c r="X89">
        <f>'2_MechAdd_LowSeverity'!P89</f>
        <v/>
      </c>
      <c r="Y89">
        <f>'2_MechAdd_LowSeverity'!Q89</f>
        <v/>
      </c>
      <c r="Z89">
        <f>'2_MechAdd_ModSeverity'!O89</f>
        <v/>
      </c>
      <c r="AA89">
        <f>'2_MechAdd_ModSeverity'!P89</f>
        <v/>
      </c>
      <c r="AB89">
        <f>'2_MechAdd_ModSeverity'!Q89</f>
        <v/>
      </c>
      <c r="AC89">
        <f>'2_MechAdd_HighSeverity'!O89</f>
        <v/>
      </c>
      <c r="AD89">
        <f>'2_MechAdd_HighSeverity'!P89</f>
        <v/>
      </c>
      <c r="AE89">
        <f>'2_MechAdd_HighSeverity'!Q89</f>
        <v/>
      </c>
      <c r="AF89">
        <f>'2_MechAdd_LowSeverity'!R89</f>
        <v/>
      </c>
      <c r="AG89">
        <f>'2_MechAdd_LowSeverity'!S89</f>
        <v/>
      </c>
      <c r="AH89">
        <f>'2_MechAdd_LowSeverity'!T89</f>
        <v/>
      </c>
      <c r="AI89">
        <f>'2_MechAdd_LowSeverity'!U89</f>
        <v/>
      </c>
      <c r="AJ89">
        <f>'2_MechAdd_ModSeverity'!S89</f>
        <v/>
      </c>
      <c r="AK89">
        <f>'2_MechAdd_ModSeverity'!T89</f>
        <v/>
      </c>
      <c r="AL89">
        <f>'2_MechAdd_ModSeverity'!U89</f>
        <v/>
      </c>
      <c r="AM89">
        <f>'2_MechAdd_HighSeverity'!S89</f>
        <v/>
      </c>
      <c r="AN89">
        <f>'2_MechAdd_HighSeverity'!T89</f>
        <v/>
      </c>
      <c r="AO89">
        <f>'2_MechAdd_HighSeverity'!U89</f>
        <v/>
      </c>
      <c r="AP89">
        <f>'2_MechAdd_LowSeverity'!V89</f>
        <v/>
      </c>
      <c r="AQ89">
        <f>'2_MechAdd_LowSeverity'!W89</f>
        <v/>
      </c>
      <c r="AR89">
        <f>'2_MechAdd_LowSeverity'!X89</f>
        <v/>
      </c>
      <c r="AS89">
        <f>'2_MechAdd_LowSeverity'!Y89</f>
        <v/>
      </c>
      <c r="AT89">
        <f>'2_MechAdd_ModSeverity'!W89</f>
        <v/>
      </c>
      <c r="AU89">
        <f>'2_MechAdd_ModSeverity'!X89</f>
        <v/>
      </c>
      <c r="AV89">
        <f>'2_MechAdd_ModSeverity'!Y89</f>
        <v/>
      </c>
      <c r="AW89">
        <f>'2_MechAdd_HighSeverity'!W89</f>
        <v/>
      </c>
      <c r="AX89">
        <f>'2_MechAdd_HighSeverity'!X89</f>
        <v/>
      </c>
      <c r="AY89">
        <f>'2_MechAdd_HighSeverity'!Y89</f>
        <v/>
      </c>
      <c r="AZ89">
        <f>'2_MechAdd_LowSeverity'!Z89</f>
        <v/>
      </c>
      <c r="BA89">
        <f>'2_MechAdd_LowSeverity'!AA89</f>
        <v/>
      </c>
      <c r="BB89">
        <f>'2_MechAdd_LowSeverity'!AB89</f>
        <v/>
      </c>
      <c r="BC89">
        <f>'2_MechAdd_LowSeverity'!AC89</f>
        <v/>
      </c>
      <c r="BD89">
        <f>'2_MechAdd_ModSeverity'!AA89</f>
        <v/>
      </c>
      <c r="BE89">
        <f>'2_MechAdd_ModSeverity'!AB89</f>
        <v/>
      </c>
      <c r="BF89">
        <f>'2_MechAdd_ModSeverity'!AC89</f>
        <v/>
      </c>
      <c r="BG89">
        <f>'2_MechAdd_HighSeverity'!AA89</f>
        <v/>
      </c>
      <c r="BH89">
        <f>'2_MechAdd_HighSeverity'!AB89</f>
        <v/>
      </c>
      <c r="BI89">
        <f>'2_MechAdd_HighSeverity'!AC89</f>
        <v/>
      </c>
    </row>
    <row r="90">
      <c r="A90" s="34">
        <f>'2_MechAdd_Script'!A90</f>
        <v/>
      </c>
      <c r="B90">
        <f>'2_MechAdd_LowSeverity'!F90</f>
        <v/>
      </c>
      <c r="C90">
        <f>'2_MechAdd_LowSeverity'!G90</f>
        <v/>
      </c>
      <c r="D90">
        <f>'2_MechAdd_LowSeverity'!H90</f>
        <v/>
      </c>
      <c r="E90">
        <f>'2_MechAdd_LowSeverity'!I90</f>
        <v/>
      </c>
      <c r="F90">
        <f>'2_MechAdd_ModSeverity'!G90</f>
        <v/>
      </c>
      <c r="G90">
        <f>'2_MechAdd_ModSeverity'!H90</f>
        <v/>
      </c>
      <c r="H90">
        <f>'2_MechAdd_ModSeverity'!I90</f>
        <v/>
      </c>
      <c r="I90">
        <f>'2_MechAdd_HighSeverity'!G90</f>
        <v/>
      </c>
      <c r="J90">
        <f>'2_MechAdd_HighSeverity'!H90</f>
        <v/>
      </c>
      <c r="K90">
        <f>'2_MechAdd_HighSeverity'!I90</f>
        <v/>
      </c>
      <c r="L90">
        <f>'2_MechAdd_LowSeverity'!J90</f>
        <v/>
      </c>
      <c r="M90">
        <f>'2_MechAdd_LowSeverity'!K90</f>
        <v/>
      </c>
      <c r="N90">
        <f>'2_MechAdd_LowSeverity'!L90</f>
        <v/>
      </c>
      <c r="O90">
        <f>'2_MechAdd_LowSeverity'!M90</f>
        <v/>
      </c>
      <c r="P90">
        <f>'2_MechAdd_ModSeverity'!K90</f>
        <v/>
      </c>
      <c r="Q90">
        <f>'2_MechAdd_ModSeverity'!L90</f>
        <v/>
      </c>
      <c r="R90">
        <f>'2_MechAdd_ModSeverity'!M90</f>
        <v/>
      </c>
      <c r="S90">
        <f>'2_MechAdd_HighSeverity'!K90</f>
        <v/>
      </c>
      <c r="T90">
        <f>'2_MechAdd_HighSeverity'!L90</f>
        <v/>
      </c>
      <c r="U90">
        <f>'2_MechAdd_HighSeverity'!M90</f>
        <v/>
      </c>
      <c r="V90">
        <f>'2_MechAdd_LowSeverity'!N90</f>
        <v/>
      </c>
      <c r="W90">
        <f>'2_MechAdd_LowSeverity'!O90</f>
        <v/>
      </c>
      <c r="X90">
        <f>'2_MechAdd_LowSeverity'!P90</f>
        <v/>
      </c>
      <c r="Y90">
        <f>'2_MechAdd_LowSeverity'!Q90</f>
        <v/>
      </c>
      <c r="Z90">
        <f>'2_MechAdd_ModSeverity'!O90</f>
        <v/>
      </c>
      <c r="AA90">
        <f>'2_MechAdd_ModSeverity'!P90</f>
        <v/>
      </c>
      <c r="AB90">
        <f>'2_MechAdd_ModSeverity'!Q90</f>
        <v/>
      </c>
      <c r="AC90">
        <f>'2_MechAdd_HighSeverity'!O90</f>
        <v/>
      </c>
      <c r="AD90">
        <f>'2_MechAdd_HighSeverity'!P90</f>
        <v/>
      </c>
      <c r="AE90">
        <f>'2_MechAdd_HighSeverity'!Q90</f>
        <v/>
      </c>
      <c r="AF90">
        <f>'2_MechAdd_LowSeverity'!R90</f>
        <v/>
      </c>
      <c r="AG90">
        <f>'2_MechAdd_LowSeverity'!S90</f>
        <v/>
      </c>
      <c r="AH90">
        <f>'2_MechAdd_LowSeverity'!T90</f>
        <v/>
      </c>
      <c r="AI90">
        <f>'2_MechAdd_LowSeverity'!U90</f>
        <v/>
      </c>
      <c r="AJ90">
        <f>'2_MechAdd_ModSeverity'!S90</f>
        <v/>
      </c>
      <c r="AK90">
        <f>'2_MechAdd_ModSeverity'!T90</f>
        <v/>
      </c>
      <c r="AL90">
        <f>'2_MechAdd_ModSeverity'!U90</f>
        <v/>
      </c>
      <c r="AM90">
        <f>'2_MechAdd_HighSeverity'!S90</f>
        <v/>
      </c>
      <c r="AN90">
        <f>'2_MechAdd_HighSeverity'!T90</f>
        <v/>
      </c>
      <c r="AO90">
        <f>'2_MechAdd_HighSeverity'!U90</f>
        <v/>
      </c>
      <c r="AP90">
        <f>'2_MechAdd_LowSeverity'!V90</f>
        <v/>
      </c>
      <c r="AQ90">
        <f>'2_MechAdd_LowSeverity'!W90</f>
        <v/>
      </c>
      <c r="AR90">
        <f>'2_MechAdd_LowSeverity'!X90</f>
        <v/>
      </c>
      <c r="AS90">
        <f>'2_MechAdd_LowSeverity'!Y90</f>
        <v/>
      </c>
      <c r="AT90">
        <f>'2_MechAdd_ModSeverity'!W90</f>
        <v/>
      </c>
      <c r="AU90">
        <f>'2_MechAdd_ModSeverity'!X90</f>
        <v/>
      </c>
      <c r="AV90">
        <f>'2_MechAdd_ModSeverity'!Y90</f>
        <v/>
      </c>
      <c r="AW90">
        <f>'2_MechAdd_HighSeverity'!W90</f>
        <v/>
      </c>
      <c r="AX90">
        <f>'2_MechAdd_HighSeverity'!X90</f>
        <v/>
      </c>
      <c r="AY90">
        <f>'2_MechAdd_HighSeverity'!Y90</f>
        <v/>
      </c>
      <c r="AZ90">
        <f>'2_MechAdd_LowSeverity'!Z90</f>
        <v/>
      </c>
      <c r="BA90">
        <f>'2_MechAdd_LowSeverity'!AA90</f>
        <v/>
      </c>
      <c r="BB90">
        <f>'2_MechAdd_LowSeverity'!AB90</f>
        <v/>
      </c>
      <c r="BC90">
        <f>'2_MechAdd_LowSeverity'!AC90</f>
        <v/>
      </c>
      <c r="BD90">
        <f>'2_MechAdd_ModSeverity'!AA90</f>
        <v/>
      </c>
      <c r="BE90">
        <f>'2_MechAdd_ModSeverity'!AB90</f>
        <v/>
      </c>
      <c r="BF90">
        <f>'2_MechAdd_ModSeverity'!AC90</f>
        <v/>
      </c>
      <c r="BG90">
        <f>'2_MechAdd_HighSeverity'!AA90</f>
        <v/>
      </c>
      <c r="BH90">
        <f>'2_MechAdd_HighSeverity'!AB90</f>
        <v/>
      </c>
      <c r="BI90">
        <f>'2_MechAdd_HighSeverity'!AC90</f>
        <v/>
      </c>
    </row>
    <row r="91">
      <c r="A91" s="34">
        <f>'2_MechAdd_Script'!A91</f>
        <v/>
      </c>
      <c r="B91">
        <f>'2_MechAdd_LowSeverity'!F91</f>
        <v/>
      </c>
      <c r="C91">
        <f>'2_MechAdd_LowSeverity'!G91</f>
        <v/>
      </c>
      <c r="D91">
        <f>'2_MechAdd_LowSeverity'!H91</f>
        <v/>
      </c>
      <c r="E91">
        <f>'2_MechAdd_LowSeverity'!I91</f>
        <v/>
      </c>
      <c r="F91">
        <f>'2_MechAdd_ModSeverity'!G91</f>
        <v/>
      </c>
      <c r="G91">
        <f>'2_MechAdd_ModSeverity'!H91</f>
        <v/>
      </c>
      <c r="H91">
        <f>'2_MechAdd_ModSeverity'!I91</f>
        <v/>
      </c>
      <c r="I91">
        <f>'2_MechAdd_HighSeverity'!G91</f>
        <v/>
      </c>
      <c r="J91">
        <f>'2_MechAdd_HighSeverity'!H91</f>
        <v/>
      </c>
      <c r="K91">
        <f>'2_MechAdd_HighSeverity'!I91</f>
        <v/>
      </c>
      <c r="L91">
        <f>'2_MechAdd_LowSeverity'!J91</f>
        <v/>
      </c>
      <c r="M91">
        <f>'2_MechAdd_LowSeverity'!K91</f>
        <v/>
      </c>
      <c r="N91">
        <f>'2_MechAdd_LowSeverity'!L91</f>
        <v/>
      </c>
      <c r="O91">
        <f>'2_MechAdd_LowSeverity'!M91</f>
        <v/>
      </c>
      <c r="P91">
        <f>'2_MechAdd_ModSeverity'!K91</f>
        <v/>
      </c>
      <c r="Q91">
        <f>'2_MechAdd_ModSeverity'!L91</f>
        <v/>
      </c>
      <c r="R91">
        <f>'2_MechAdd_ModSeverity'!M91</f>
        <v/>
      </c>
      <c r="S91">
        <f>'2_MechAdd_HighSeverity'!K91</f>
        <v/>
      </c>
      <c r="T91">
        <f>'2_MechAdd_HighSeverity'!L91</f>
        <v/>
      </c>
      <c r="U91">
        <f>'2_MechAdd_HighSeverity'!M91</f>
        <v/>
      </c>
      <c r="V91">
        <f>'2_MechAdd_LowSeverity'!N91</f>
        <v/>
      </c>
      <c r="W91">
        <f>'2_MechAdd_LowSeverity'!O91</f>
        <v/>
      </c>
      <c r="X91">
        <f>'2_MechAdd_LowSeverity'!P91</f>
        <v/>
      </c>
      <c r="Y91">
        <f>'2_MechAdd_LowSeverity'!Q91</f>
        <v/>
      </c>
      <c r="Z91">
        <f>'2_MechAdd_ModSeverity'!O91</f>
        <v/>
      </c>
      <c r="AA91">
        <f>'2_MechAdd_ModSeverity'!P91</f>
        <v/>
      </c>
      <c r="AB91">
        <f>'2_MechAdd_ModSeverity'!Q91</f>
        <v/>
      </c>
      <c r="AC91">
        <f>'2_MechAdd_HighSeverity'!O91</f>
        <v/>
      </c>
      <c r="AD91">
        <f>'2_MechAdd_HighSeverity'!P91</f>
        <v/>
      </c>
      <c r="AE91">
        <f>'2_MechAdd_HighSeverity'!Q91</f>
        <v/>
      </c>
      <c r="AF91">
        <f>'2_MechAdd_LowSeverity'!R91</f>
        <v/>
      </c>
      <c r="AG91">
        <f>'2_MechAdd_LowSeverity'!S91</f>
        <v/>
      </c>
      <c r="AH91">
        <f>'2_MechAdd_LowSeverity'!T91</f>
        <v/>
      </c>
      <c r="AI91">
        <f>'2_MechAdd_LowSeverity'!U91</f>
        <v/>
      </c>
      <c r="AJ91">
        <f>'2_MechAdd_ModSeverity'!S91</f>
        <v/>
      </c>
      <c r="AK91">
        <f>'2_MechAdd_ModSeverity'!T91</f>
        <v/>
      </c>
      <c r="AL91">
        <f>'2_MechAdd_ModSeverity'!U91</f>
        <v/>
      </c>
      <c r="AM91">
        <f>'2_MechAdd_HighSeverity'!S91</f>
        <v/>
      </c>
      <c r="AN91">
        <f>'2_MechAdd_HighSeverity'!T91</f>
        <v/>
      </c>
      <c r="AO91">
        <f>'2_MechAdd_HighSeverity'!U91</f>
        <v/>
      </c>
      <c r="AP91">
        <f>'2_MechAdd_LowSeverity'!V91</f>
        <v/>
      </c>
      <c r="AQ91">
        <f>'2_MechAdd_LowSeverity'!W91</f>
        <v/>
      </c>
      <c r="AR91">
        <f>'2_MechAdd_LowSeverity'!X91</f>
        <v/>
      </c>
      <c r="AS91">
        <f>'2_MechAdd_LowSeverity'!Y91</f>
        <v/>
      </c>
      <c r="AT91">
        <f>'2_MechAdd_ModSeverity'!W91</f>
        <v/>
      </c>
      <c r="AU91">
        <f>'2_MechAdd_ModSeverity'!X91</f>
        <v/>
      </c>
      <c r="AV91">
        <f>'2_MechAdd_ModSeverity'!Y91</f>
        <v/>
      </c>
      <c r="AW91">
        <f>'2_MechAdd_HighSeverity'!W91</f>
        <v/>
      </c>
      <c r="AX91">
        <f>'2_MechAdd_HighSeverity'!X91</f>
        <v/>
      </c>
      <c r="AY91">
        <f>'2_MechAdd_HighSeverity'!Y91</f>
        <v/>
      </c>
      <c r="AZ91">
        <f>'2_MechAdd_LowSeverity'!Z91</f>
        <v/>
      </c>
      <c r="BA91">
        <f>'2_MechAdd_LowSeverity'!AA91</f>
        <v/>
      </c>
      <c r="BB91">
        <f>'2_MechAdd_LowSeverity'!AB91</f>
        <v/>
      </c>
      <c r="BC91">
        <f>'2_MechAdd_LowSeverity'!AC91</f>
        <v/>
      </c>
      <c r="BD91">
        <f>'2_MechAdd_ModSeverity'!AA91</f>
        <v/>
      </c>
      <c r="BE91">
        <f>'2_MechAdd_ModSeverity'!AB91</f>
        <v/>
      </c>
      <c r="BF91">
        <f>'2_MechAdd_ModSeverity'!AC91</f>
        <v/>
      </c>
      <c r="BG91">
        <f>'2_MechAdd_HighSeverity'!AA91</f>
        <v/>
      </c>
      <c r="BH91">
        <f>'2_MechAdd_HighSeverity'!AB91</f>
        <v/>
      </c>
      <c r="BI91">
        <f>'2_MechAdd_HighSeverity'!AC91</f>
        <v/>
      </c>
    </row>
    <row r="92">
      <c r="A92" s="34">
        <f>'2_MechAdd_Script'!A92</f>
        <v/>
      </c>
      <c r="B92">
        <f>'2_MechAdd_LowSeverity'!F92</f>
        <v/>
      </c>
      <c r="C92">
        <f>'2_MechAdd_LowSeverity'!G92</f>
        <v/>
      </c>
      <c r="D92">
        <f>'2_MechAdd_LowSeverity'!H92</f>
        <v/>
      </c>
      <c r="E92">
        <f>'2_MechAdd_LowSeverity'!I92</f>
        <v/>
      </c>
      <c r="F92">
        <f>'2_MechAdd_ModSeverity'!G92</f>
        <v/>
      </c>
      <c r="G92">
        <f>'2_MechAdd_ModSeverity'!H92</f>
        <v/>
      </c>
      <c r="H92">
        <f>'2_MechAdd_ModSeverity'!I92</f>
        <v/>
      </c>
      <c r="I92">
        <f>'2_MechAdd_HighSeverity'!G92</f>
        <v/>
      </c>
      <c r="J92">
        <f>'2_MechAdd_HighSeverity'!H92</f>
        <v/>
      </c>
      <c r="K92">
        <f>'2_MechAdd_HighSeverity'!I92</f>
        <v/>
      </c>
      <c r="L92">
        <f>'2_MechAdd_LowSeverity'!J92</f>
        <v/>
      </c>
      <c r="M92">
        <f>'2_MechAdd_LowSeverity'!K92</f>
        <v/>
      </c>
      <c r="N92">
        <f>'2_MechAdd_LowSeverity'!L92</f>
        <v/>
      </c>
      <c r="O92">
        <f>'2_MechAdd_LowSeverity'!M92</f>
        <v/>
      </c>
      <c r="P92">
        <f>'2_MechAdd_ModSeverity'!K92</f>
        <v/>
      </c>
      <c r="Q92">
        <f>'2_MechAdd_ModSeverity'!L92</f>
        <v/>
      </c>
      <c r="R92">
        <f>'2_MechAdd_ModSeverity'!M92</f>
        <v/>
      </c>
      <c r="S92">
        <f>'2_MechAdd_HighSeverity'!K92</f>
        <v/>
      </c>
      <c r="T92">
        <f>'2_MechAdd_HighSeverity'!L92</f>
        <v/>
      </c>
      <c r="U92">
        <f>'2_MechAdd_HighSeverity'!M92</f>
        <v/>
      </c>
      <c r="V92">
        <f>'2_MechAdd_LowSeverity'!N92</f>
        <v/>
      </c>
      <c r="W92">
        <f>'2_MechAdd_LowSeverity'!O92</f>
        <v/>
      </c>
      <c r="X92">
        <f>'2_MechAdd_LowSeverity'!P92</f>
        <v/>
      </c>
      <c r="Y92">
        <f>'2_MechAdd_LowSeverity'!Q92</f>
        <v/>
      </c>
      <c r="Z92">
        <f>'2_MechAdd_ModSeverity'!O92</f>
        <v/>
      </c>
      <c r="AA92">
        <f>'2_MechAdd_ModSeverity'!P92</f>
        <v/>
      </c>
      <c r="AB92">
        <f>'2_MechAdd_ModSeverity'!Q92</f>
        <v/>
      </c>
      <c r="AC92">
        <f>'2_MechAdd_HighSeverity'!O92</f>
        <v/>
      </c>
      <c r="AD92">
        <f>'2_MechAdd_HighSeverity'!P92</f>
        <v/>
      </c>
      <c r="AE92">
        <f>'2_MechAdd_HighSeverity'!Q92</f>
        <v/>
      </c>
      <c r="AF92">
        <f>'2_MechAdd_LowSeverity'!R92</f>
        <v/>
      </c>
      <c r="AG92">
        <f>'2_MechAdd_LowSeverity'!S92</f>
        <v/>
      </c>
      <c r="AH92">
        <f>'2_MechAdd_LowSeverity'!T92</f>
        <v/>
      </c>
      <c r="AI92">
        <f>'2_MechAdd_LowSeverity'!U92</f>
        <v/>
      </c>
      <c r="AJ92">
        <f>'2_MechAdd_ModSeverity'!S92</f>
        <v/>
      </c>
      <c r="AK92">
        <f>'2_MechAdd_ModSeverity'!T92</f>
        <v/>
      </c>
      <c r="AL92">
        <f>'2_MechAdd_ModSeverity'!U92</f>
        <v/>
      </c>
      <c r="AM92">
        <f>'2_MechAdd_HighSeverity'!S92</f>
        <v/>
      </c>
      <c r="AN92">
        <f>'2_MechAdd_HighSeverity'!T92</f>
        <v/>
      </c>
      <c r="AO92">
        <f>'2_MechAdd_HighSeverity'!U92</f>
        <v/>
      </c>
      <c r="AP92">
        <f>'2_MechAdd_LowSeverity'!V92</f>
        <v/>
      </c>
      <c r="AQ92">
        <f>'2_MechAdd_LowSeverity'!W92</f>
        <v/>
      </c>
      <c r="AR92">
        <f>'2_MechAdd_LowSeverity'!X92</f>
        <v/>
      </c>
      <c r="AS92">
        <f>'2_MechAdd_LowSeverity'!Y92</f>
        <v/>
      </c>
      <c r="AT92">
        <f>'2_MechAdd_ModSeverity'!W92</f>
        <v/>
      </c>
      <c r="AU92">
        <f>'2_MechAdd_ModSeverity'!X92</f>
        <v/>
      </c>
      <c r="AV92">
        <f>'2_MechAdd_ModSeverity'!Y92</f>
        <v/>
      </c>
      <c r="AW92">
        <f>'2_MechAdd_HighSeverity'!W92</f>
        <v/>
      </c>
      <c r="AX92">
        <f>'2_MechAdd_HighSeverity'!X92</f>
        <v/>
      </c>
      <c r="AY92">
        <f>'2_MechAdd_HighSeverity'!Y92</f>
        <v/>
      </c>
      <c r="AZ92">
        <f>'2_MechAdd_LowSeverity'!Z92</f>
        <v/>
      </c>
      <c r="BA92">
        <f>'2_MechAdd_LowSeverity'!AA92</f>
        <v/>
      </c>
      <c r="BB92">
        <f>'2_MechAdd_LowSeverity'!AB92</f>
        <v/>
      </c>
      <c r="BC92">
        <f>'2_MechAdd_LowSeverity'!AC92</f>
        <v/>
      </c>
      <c r="BD92">
        <f>'2_MechAdd_ModSeverity'!AA92</f>
        <v/>
      </c>
      <c r="BE92">
        <f>'2_MechAdd_ModSeverity'!AB92</f>
        <v/>
      </c>
      <c r="BF92">
        <f>'2_MechAdd_ModSeverity'!AC92</f>
        <v/>
      </c>
      <c r="BG92">
        <f>'2_MechAdd_HighSeverity'!AA92</f>
        <v/>
      </c>
      <c r="BH92">
        <f>'2_MechAdd_HighSeverity'!AB92</f>
        <v/>
      </c>
      <c r="BI92">
        <f>'2_MechAdd_HighSeverity'!AC92</f>
        <v/>
      </c>
    </row>
    <row r="93">
      <c r="A93" s="34">
        <f>'2_MechAdd_Script'!A93</f>
        <v/>
      </c>
      <c r="B93">
        <f>'2_MechAdd_LowSeverity'!F93</f>
        <v/>
      </c>
      <c r="C93">
        <f>'2_MechAdd_LowSeverity'!G93</f>
        <v/>
      </c>
      <c r="D93">
        <f>'2_MechAdd_LowSeverity'!H93</f>
        <v/>
      </c>
      <c r="E93">
        <f>'2_MechAdd_LowSeverity'!I93</f>
        <v/>
      </c>
      <c r="F93">
        <f>'2_MechAdd_ModSeverity'!G93</f>
        <v/>
      </c>
      <c r="G93">
        <f>'2_MechAdd_ModSeverity'!H93</f>
        <v/>
      </c>
      <c r="H93">
        <f>'2_MechAdd_ModSeverity'!I93</f>
        <v/>
      </c>
      <c r="I93">
        <f>'2_MechAdd_HighSeverity'!G93</f>
        <v/>
      </c>
      <c r="J93">
        <f>'2_MechAdd_HighSeverity'!H93</f>
        <v/>
      </c>
      <c r="K93">
        <f>'2_MechAdd_HighSeverity'!I93</f>
        <v/>
      </c>
      <c r="L93">
        <f>'2_MechAdd_LowSeverity'!J93</f>
        <v/>
      </c>
      <c r="M93">
        <f>'2_MechAdd_LowSeverity'!K93</f>
        <v/>
      </c>
      <c r="N93">
        <f>'2_MechAdd_LowSeverity'!L93</f>
        <v/>
      </c>
      <c r="O93">
        <f>'2_MechAdd_LowSeverity'!M93</f>
        <v/>
      </c>
      <c r="P93">
        <f>'2_MechAdd_ModSeverity'!K93</f>
        <v/>
      </c>
      <c r="Q93">
        <f>'2_MechAdd_ModSeverity'!L93</f>
        <v/>
      </c>
      <c r="R93">
        <f>'2_MechAdd_ModSeverity'!M93</f>
        <v/>
      </c>
      <c r="S93">
        <f>'2_MechAdd_HighSeverity'!K93</f>
        <v/>
      </c>
      <c r="T93">
        <f>'2_MechAdd_HighSeverity'!L93</f>
        <v/>
      </c>
      <c r="U93">
        <f>'2_MechAdd_HighSeverity'!M93</f>
        <v/>
      </c>
      <c r="V93">
        <f>'2_MechAdd_LowSeverity'!N93</f>
        <v/>
      </c>
      <c r="W93">
        <f>'2_MechAdd_LowSeverity'!O93</f>
        <v/>
      </c>
      <c r="X93">
        <f>'2_MechAdd_LowSeverity'!P93</f>
        <v/>
      </c>
      <c r="Y93">
        <f>'2_MechAdd_LowSeverity'!Q93</f>
        <v/>
      </c>
      <c r="Z93">
        <f>'2_MechAdd_ModSeverity'!O93</f>
        <v/>
      </c>
      <c r="AA93">
        <f>'2_MechAdd_ModSeverity'!P93</f>
        <v/>
      </c>
      <c r="AB93">
        <f>'2_MechAdd_ModSeverity'!Q93</f>
        <v/>
      </c>
      <c r="AC93">
        <f>'2_MechAdd_HighSeverity'!O93</f>
        <v/>
      </c>
      <c r="AD93">
        <f>'2_MechAdd_HighSeverity'!P93</f>
        <v/>
      </c>
      <c r="AE93">
        <f>'2_MechAdd_HighSeverity'!Q93</f>
        <v/>
      </c>
      <c r="AF93">
        <f>'2_MechAdd_LowSeverity'!R93</f>
        <v/>
      </c>
      <c r="AG93">
        <f>'2_MechAdd_LowSeverity'!S93</f>
        <v/>
      </c>
      <c r="AH93">
        <f>'2_MechAdd_LowSeverity'!T93</f>
        <v/>
      </c>
      <c r="AI93">
        <f>'2_MechAdd_LowSeverity'!U93</f>
        <v/>
      </c>
      <c r="AJ93">
        <f>'2_MechAdd_ModSeverity'!S93</f>
        <v/>
      </c>
      <c r="AK93">
        <f>'2_MechAdd_ModSeverity'!T93</f>
        <v/>
      </c>
      <c r="AL93">
        <f>'2_MechAdd_ModSeverity'!U93</f>
        <v/>
      </c>
      <c r="AM93">
        <f>'2_MechAdd_HighSeverity'!S93</f>
        <v/>
      </c>
      <c r="AN93">
        <f>'2_MechAdd_HighSeverity'!T93</f>
        <v/>
      </c>
      <c r="AO93">
        <f>'2_MechAdd_HighSeverity'!U93</f>
        <v/>
      </c>
      <c r="AP93">
        <f>'2_MechAdd_LowSeverity'!V93</f>
        <v/>
      </c>
      <c r="AQ93">
        <f>'2_MechAdd_LowSeverity'!W93</f>
        <v/>
      </c>
      <c r="AR93">
        <f>'2_MechAdd_LowSeverity'!X93</f>
        <v/>
      </c>
      <c r="AS93">
        <f>'2_MechAdd_LowSeverity'!Y93</f>
        <v/>
      </c>
      <c r="AT93">
        <f>'2_MechAdd_ModSeverity'!W93</f>
        <v/>
      </c>
      <c r="AU93">
        <f>'2_MechAdd_ModSeverity'!X93</f>
        <v/>
      </c>
      <c r="AV93">
        <f>'2_MechAdd_ModSeverity'!Y93</f>
        <v/>
      </c>
      <c r="AW93">
        <f>'2_MechAdd_HighSeverity'!W93</f>
        <v/>
      </c>
      <c r="AX93">
        <f>'2_MechAdd_HighSeverity'!X93</f>
        <v/>
      </c>
      <c r="AY93">
        <f>'2_MechAdd_HighSeverity'!Y93</f>
        <v/>
      </c>
      <c r="AZ93">
        <f>'2_MechAdd_LowSeverity'!Z93</f>
        <v/>
      </c>
      <c r="BA93">
        <f>'2_MechAdd_LowSeverity'!AA93</f>
        <v/>
      </c>
      <c r="BB93">
        <f>'2_MechAdd_LowSeverity'!AB93</f>
        <v/>
      </c>
      <c r="BC93">
        <f>'2_MechAdd_LowSeverity'!AC93</f>
        <v/>
      </c>
      <c r="BD93">
        <f>'2_MechAdd_ModSeverity'!AA93</f>
        <v/>
      </c>
      <c r="BE93">
        <f>'2_MechAdd_ModSeverity'!AB93</f>
        <v/>
      </c>
      <c r="BF93">
        <f>'2_MechAdd_ModSeverity'!AC93</f>
        <v/>
      </c>
      <c r="BG93">
        <f>'2_MechAdd_HighSeverity'!AA93</f>
        <v/>
      </c>
      <c r="BH93">
        <f>'2_MechAdd_HighSeverity'!AB93</f>
        <v/>
      </c>
      <c r="BI93">
        <f>'2_MechAdd_HighSeverity'!AC93</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Susan J. Prichard</dc:creator>
  <dcterms:created xsi:type="dcterms:W3CDTF">2016-06-29T18:22:35Z</dcterms:created>
  <dcterms:modified xsi:type="dcterms:W3CDTF">2026-08-24T21:53:37Z</dcterms:modified>
  <cp:lastModifiedBy>Susan J. Prichard</cp:lastModifiedBy>
</cp:coreProperties>
</file>